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laragon\www\sist-my-l10x\data-excel\"/>
    </mc:Choice>
  </mc:AlternateContent>
  <xr:revisionPtr revIDLastSave="0" documentId="13_ncr:1_{29F6BA40-9CD7-4D2A-B824-4013CDE9D773}" xr6:coauthVersionLast="47" xr6:coauthVersionMax="47" xr10:uidLastSave="{00000000-0000-0000-0000-000000000000}"/>
  <bookViews>
    <workbookView xWindow="-120" yWindow="-120" windowWidth="20730" windowHeight="11040" firstSheet="6" activeTab="15" xr2:uid="{A0C50BEF-419F-44C4-9F27-C210D96D28E0}"/>
  </bookViews>
  <sheets>
    <sheet name="TABLE" sheetId="16" r:id="rId1"/>
    <sheet name="VIEW" sheetId="17" r:id="rId2"/>
    <sheet name="kel-akun" sheetId="41" r:id="rId3"/>
    <sheet name="nasabah" sheetId="32" r:id="rId4"/>
    <sheet name="kelompok" sheetId="40" r:id="rId5"/>
    <sheet name="jenisjurnal" sheetId="43" r:id="rId6"/>
    <sheet name="sandi" sheetId="44" r:id="rId7"/>
    <sheet name="jurnal" sheetId="37" r:id="rId8"/>
    <sheet name="kategori" sheetId="33" r:id="rId9"/>
    <sheet name="produk" sheetId="34" r:id="rId10"/>
    <sheet name="coa" sheetId="42" r:id="rId11"/>
    <sheet name="tsetor" sheetId="38" r:id="rId12"/>
    <sheet name="ttarik" sheetId="45" r:id="rId13"/>
    <sheet name="tfkeluar" sheetId="46" r:id="rId14"/>
    <sheet name="tfmasuk" sheetId="47" r:id="rId15"/>
    <sheet name="uang" sheetId="48" r:id="rId16"/>
  </sheets>
  <definedNames>
    <definedName name="laporan">VIEW!$B$16</definedName>
    <definedName name="master">VIEW!$B$5</definedName>
    <definedName name="transaksi">VIEW!$B$10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48" l="1"/>
  <c r="B2" i="48"/>
  <c r="A12" i="17"/>
  <c r="A13" i="17" s="1"/>
  <c r="A14" i="17" s="1"/>
  <c r="E14" i="17"/>
  <c r="D14" i="17"/>
  <c r="C14" i="17"/>
  <c r="E13" i="17"/>
  <c r="D13" i="17"/>
  <c r="C13" i="17"/>
  <c r="I17" i="16"/>
  <c r="G17" i="16"/>
  <c r="E17" i="16"/>
  <c r="I16" i="16"/>
  <c r="G16" i="16"/>
  <c r="E16" i="16"/>
  <c r="I15" i="16"/>
  <c r="G15" i="16"/>
  <c r="E15" i="16"/>
  <c r="B19" i="47"/>
  <c r="B2" i="47"/>
  <c r="J36" i="34"/>
  <c r="J37" i="34"/>
  <c r="J38" i="34"/>
  <c r="J39" i="34"/>
  <c r="J40" i="34"/>
  <c r="J41" i="34"/>
  <c r="J42" i="34"/>
  <c r="J43" i="34"/>
  <c r="J44" i="34"/>
  <c r="J45" i="34"/>
  <c r="J46" i="34"/>
  <c r="J35" i="34"/>
  <c r="B18" i="46"/>
  <c r="B2" i="46"/>
  <c r="B17" i="45"/>
  <c r="B2" i="45"/>
  <c r="C18" i="17"/>
  <c r="C19" i="17"/>
  <c r="C20" i="17"/>
  <c r="C21" i="17"/>
  <c r="C17" i="17"/>
  <c r="C11" i="17"/>
  <c r="C12" i="17"/>
  <c r="C8" i="17"/>
  <c r="C7" i="17"/>
  <c r="I12" i="16"/>
  <c r="G12" i="16"/>
  <c r="E12" i="16"/>
  <c r="I14" i="16"/>
  <c r="G14" i="16"/>
  <c r="E14" i="16"/>
  <c r="E13" i="16"/>
  <c r="E11" i="16"/>
  <c r="E10" i="16"/>
  <c r="E9" i="16"/>
  <c r="I5" i="16"/>
  <c r="G5" i="16"/>
  <c r="E5" i="16"/>
  <c r="B11" i="44"/>
  <c r="B2" i="44"/>
  <c r="B40" i="34"/>
  <c r="B41" i="34"/>
  <c r="B42" i="34"/>
  <c r="B43" i="34"/>
  <c r="B44" i="34"/>
  <c r="B45" i="34"/>
  <c r="B46" i="34"/>
  <c r="B39" i="34"/>
  <c r="B10" i="43"/>
  <c r="B2" i="43"/>
  <c r="B32" i="34"/>
  <c r="B33" i="34"/>
  <c r="B34" i="34"/>
  <c r="B35" i="34"/>
  <c r="B36" i="34"/>
  <c r="B37" i="34"/>
  <c r="B38" i="34"/>
  <c r="B31" i="34"/>
  <c r="B16" i="42"/>
  <c r="B2" i="42"/>
  <c r="B10" i="40"/>
  <c r="B2" i="40"/>
  <c r="C6" i="17"/>
  <c r="E21" i="17"/>
  <c r="E20" i="17"/>
  <c r="E19" i="17"/>
  <c r="E18" i="17"/>
  <c r="E17" i="17"/>
  <c r="A17" i="17"/>
  <c r="E12" i="17"/>
  <c r="D12" i="17"/>
  <c r="B17" i="38"/>
  <c r="B2" i="38"/>
  <c r="D11" i="17"/>
  <c r="E11" i="17"/>
  <c r="A11" i="17"/>
  <c r="A6" i="17"/>
  <c r="A7" i="17" s="1"/>
  <c r="A8" i="17" s="1"/>
  <c r="B29" i="37"/>
  <c r="B2" i="37"/>
  <c r="E8" i="17"/>
  <c r="D8" i="17"/>
  <c r="E7" i="17"/>
  <c r="D7" i="17"/>
  <c r="B25" i="34" l="1"/>
  <c r="B2" i="34"/>
  <c r="E7" i="16"/>
  <c r="B10" i="33"/>
  <c r="B2" i="33"/>
  <c r="E6" i="16"/>
  <c r="B21" i="32"/>
  <c r="B2" i="32"/>
  <c r="E8" i="16" l="1"/>
  <c r="G8" i="16"/>
  <c r="I8" i="16"/>
  <c r="D6" i="17" l="1"/>
  <c r="E6" i="17"/>
</calcChain>
</file>

<file path=xl/sharedStrings.xml><?xml version="1.0" encoding="utf-8"?>
<sst xmlns="http://schemas.openxmlformats.org/spreadsheetml/2006/main" count="775" uniqueCount="338">
  <si>
    <t>);</t>
  </si>
  <si>
    <t>table</t>
  </si>
  <si>
    <t>primary key</t>
  </si>
  <si>
    <t>unique</t>
  </si>
  <si>
    <t>data aslinya</t>
  </si>
  <si>
    <t>id</t>
  </si>
  <si>
    <t>foreign key</t>
  </si>
  <si>
    <t>keterangan</t>
  </si>
  <si>
    <t>NO.</t>
  </si>
  <si>
    <t>STATUS</t>
  </si>
  <si>
    <t>PHP NAME</t>
  </si>
  <si>
    <t>VIEW</t>
  </si>
  <si>
    <t>CONTROLLER</t>
  </si>
  <si>
    <t>REMARKS</t>
  </si>
  <si>
    <t>LINK</t>
  </si>
  <si>
    <t>ADD</t>
  </si>
  <si>
    <t>EDIT</t>
  </si>
  <si>
    <t>DELETE</t>
  </si>
  <si>
    <t>OTHERS</t>
  </si>
  <si>
    <t>√</t>
  </si>
  <si>
    <t>I</t>
  </si>
  <si>
    <t>MASTER</t>
  </si>
  <si>
    <t>MODEL</t>
  </si>
  <si>
    <t>FEATURES</t>
  </si>
  <si>
    <t>FINISH</t>
  </si>
  <si>
    <t>NAME</t>
  </si>
  <si>
    <t>TABLE</t>
  </si>
  <si>
    <t>pendidikan</t>
  </si>
  <si>
    <t>FOREIGN TABLE (with)</t>
  </si>
  <si>
    <t>varchar(50)</t>
  </si>
  <si>
    <t>date,</t>
  </si>
  <si>
    <t>varchar(50),</t>
  </si>
  <si>
    <t>DAFTAR TABEL DATABASE db_sip01</t>
  </si>
  <si>
    <t>varchar(200),</t>
  </si>
  <si>
    <t>id  bigint not null,</t>
  </si>
  <si>
    <t>nisn</t>
  </si>
  <si>
    <t>ecard</t>
  </si>
  <si>
    <t>varchar(25) not null,</t>
  </si>
  <si>
    <t>alamat</t>
  </si>
  <si>
    <t>telp</t>
  </si>
  <si>
    <t>tgllahir</t>
  </si>
  <si>
    <t>tgldaftar</t>
  </si>
  <si>
    <t>namalengkap</t>
  </si>
  <si>
    <t>nis</t>
  </si>
  <si>
    <t>import from excel &amp; datasiswa</t>
  </si>
  <si>
    <t>ok</t>
  </si>
  <si>
    <t>kelas</t>
  </si>
  <si>
    <t>varchar(10),</t>
  </si>
  <si>
    <t>kategori</t>
  </si>
  <si>
    <t>kode</t>
  </si>
  <si>
    <t>varchar(2),</t>
  </si>
  <si>
    <t>bigint not null,</t>
  </si>
  <si>
    <t>bigint,</t>
  </si>
  <si>
    <t>varchar(30),</t>
  </si>
  <si>
    <t>varchar(15),</t>
  </si>
  <si>
    <t>integer default 1,</t>
  </si>
  <si>
    <t>tgltransaksi</t>
  </si>
  <si>
    <t>varchar(100)</t>
  </si>
  <si>
    <t>jml</t>
  </si>
  <si>
    <t>tglposting</t>
  </si>
  <si>
    <t>nomorposting</t>
  </si>
  <si>
    <t>CONTOH</t>
  </si>
  <si>
    <t>2023-12-25</t>
  </si>
  <si>
    <t>KETERANGAN</t>
  </si>
  <si>
    <t>varchar(25),</t>
  </si>
  <si>
    <t>nomor bukti dari system</t>
  </si>
  <si>
    <t>nomorp</t>
  </si>
  <si>
    <t>POS.202231225.0007</t>
  </si>
  <si>
    <t>II</t>
  </si>
  <si>
    <t>TRANSAKSI</t>
  </si>
  <si>
    <t>posting</t>
  </si>
  <si>
    <t>numeric(15,0) default 0,</t>
  </si>
  <si>
    <t>tglstatus</t>
  </si>
  <si>
    <t>nomorstatus</t>
  </si>
  <si>
    <t>POS.20231225.0005</t>
  </si>
  <si>
    <t>idstatus</t>
  </si>
  <si>
    <t>create_at</t>
  </si>
  <si>
    <t>datetime,</t>
  </si>
  <si>
    <t>nomorb</t>
  </si>
  <si>
    <t>nomorbukti</t>
  </si>
  <si>
    <t>nama</t>
  </si>
  <si>
    <t>PT. Nasuma</t>
  </si>
  <si>
    <t>LAPORAN</t>
  </si>
  <si>
    <t>III</t>
  </si>
  <si>
    <t>jatuhtempopersonal.blade.php</t>
  </si>
  <si>
    <t>jatuhtempoall.blade.php</t>
  </si>
  <si>
    <t>Bpinjam.php</t>
  </si>
  <si>
    <t>belumkembalipersonal.blade.php</t>
  </si>
  <si>
    <t>belumkembaliall.blade.php</t>
  </si>
  <si>
    <t>Jatuh Tempo (All)</t>
  </si>
  <si>
    <t>Jatuh Tempo (Personal)</t>
  </si>
  <si>
    <t>Belum Kembali (Personal)</t>
  </si>
  <si>
    <t>Belum Kembali (All)</t>
  </si>
  <si>
    <t>aktif</t>
  </si>
  <si>
    <t>nasabah</t>
  </si>
  <si>
    <t>tglkeluar</t>
  </si>
  <si>
    <t>varchar(1),</t>
  </si>
  <si>
    <t>saldo</t>
  </si>
  <si>
    <t>decimal(15,0) DEFAULT '0'</t>
  </si>
  <si>
    <t>alter table nasabah add constraint unq1_nasabah unique (nis);</t>
  </si>
  <si>
    <t>alter table nasabah add constraint unq2_nasabah unique (nisn);</t>
  </si>
  <si>
    <t>alter table nasabah add constraint unq3_nasabah unique (ecard);</t>
  </si>
  <si>
    <t>nasabah.blade.php</t>
  </si>
  <si>
    <t>kelompok</t>
  </si>
  <si>
    <t>Beban Lainnya</t>
  </si>
  <si>
    <t>Beban</t>
  </si>
  <si>
    <t>6.Expense</t>
  </si>
  <si>
    <t>Harga Pokok Penjualan</t>
  </si>
  <si>
    <t>5.Cost Of Sales</t>
  </si>
  <si>
    <t>Pendapatan Lainnya</t>
  </si>
  <si>
    <t>Pendapatan</t>
  </si>
  <si>
    <t>4.Income</t>
  </si>
  <si>
    <t>Ekuitas</t>
  </si>
  <si>
    <t>3.Equity</t>
  </si>
  <si>
    <t>Kewajiban Jangka Panjang</t>
  </si>
  <si>
    <t>Kewajiban Lancar Lainnya</t>
  </si>
  <si>
    <t>Kartu Kredit</t>
  </si>
  <si>
    <t>Akun Hutang</t>
  </si>
  <si>
    <t>2.Liability</t>
  </si>
  <si>
    <t>Depresiasi &amp; Amortisasi</t>
  </si>
  <si>
    <t>Aktiva Lainnya</t>
  </si>
  <si>
    <t>Aktiva Tetap</t>
  </si>
  <si>
    <t>Persediaan</t>
  </si>
  <si>
    <t>Kas &amp; Bank</t>
  </si>
  <si>
    <t>Aktiva Lancar Lainnya</t>
  </si>
  <si>
    <t>Akun Piutang</t>
  </si>
  <si>
    <t>1.Assets</t>
  </si>
  <si>
    <t>DAFTAR AKUN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</si>
  <si>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</si>
  <si>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</si>
  <si>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</si>
  <si>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</si>
  <si>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</si>
  <si>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</si>
  <si>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</si>
  <si>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</si>
  <si>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</si>
  <si>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</si>
  <si>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</si>
  <si>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</si>
  <si>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</si>
  <si>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alter table kelompok add constraint unq1_kelompok unique (kelompok);</t>
  </si>
  <si>
    <t>idkelompok</t>
  </si>
  <si>
    <t>varchar(30)</t>
  </si>
  <si>
    <t>alter table kategori add constraint unq1_kategori unique (kategori);</t>
  </si>
  <si>
    <t>varchar(30) not null,</t>
  </si>
  <si>
    <t>idkategori</t>
  </si>
  <si>
    <t>coa</t>
  </si>
  <si>
    <t>alter table coa add constraint unq1_coa unique (kode);</t>
  </si>
  <si>
    <t>varchar(50) not null,</t>
  </si>
  <si>
    <t>debet</t>
  </si>
  <si>
    <t>kredit</t>
  </si>
  <si>
    <t>10100</t>
  </si>
  <si>
    <t>10200</t>
  </si>
  <si>
    <t>10300</t>
  </si>
  <si>
    <t>10400</t>
  </si>
  <si>
    <t>10500</t>
  </si>
  <si>
    <t>10600</t>
  </si>
  <si>
    <t>10700</t>
  </si>
  <si>
    <t>20800</t>
  </si>
  <si>
    <t>20900</t>
  </si>
  <si>
    <t>21000</t>
  </si>
  <si>
    <t>21100</t>
  </si>
  <si>
    <t>kode akun header</t>
  </si>
  <si>
    <t>produk</t>
  </si>
  <si>
    <t>alter table produk add constraint unq1_produk unique (produk);</t>
  </si>
  <si>
    <t>hd</t>
  </si>
  <si>
    <t>varchar(1) not null,</t>
  </si>
  <si>
    <t>h=header, d=detail</t>
  </si>
  <si>
    <t>alter table kategori add constraint fk_kategori_1 foreign key (idkelompok) references kelompok (id);</t>
  </si>
  <si>
    <t>alter table nasabah add constraint fk_nasabah_1 foreign key (idproduk) references produk (id);</t>
  </si>
  <si>
    <t>idproduk</t>
  </si>
  <si>
    <t>alter table nasabah add constraint unq4_nasabah unique (norek);</t>
  </si>
  <si>
    <t>norek</t>
  </si>
  <si>
    <t>alter table coa add constraint unq2_coa unique (idkategori, coa);</t>
  </si>
  <si>
    <t>alter table coa add constraint fk_coa_1 foreign key (idkategori) references kategori (id);</t>
  </si>
  <si>
    <t>31200</t>
  </si>
  <si>
    <t>41300</t>
  </si>
  <si>
    <t>41400</t>
  </si>
  <si>
    <t>51500</t>
  </si>
  <si>
    <t>61600</t>
  </si>
  <si>
    <t>10000</t>
  </si>
  <si>
    <t>20000</t>
  </si>
  <si>
    <t>30000</t>
  </si>
  <si>
    <t>40000</t>
  </si>
  <si>
    <t>50000</t>
  </si>
  <si>
    <t>60000</t>
  </si>
  <si>
    <t>kodekelompok</t>
  </si>
  <si>
    <t>kodekategori</t>
  </si>
  <si>
    <t>varchar(2) not null,</t>
  </si>
  <si>
    <t>idcoasetord</t>
  </si>
  <si>
    <t>idcoasetork</t>
  </si>
  <si>
    <t>idcoatarikd</t>
  </si>
  <si>
    <t>idcoatarikk</t>
  </si>
  <si>
    <t>jenisjurnal</t>
  </si>
  <si>
    <t>alter table jenisjurnal add constraint unq1_jenisjurnal unique (jenisjurnal);</t>
  </si>
  <si>
    <t>idjenisjurnalsetord</t>
  </si>
  <si>
    <t>idjenisjurnalsetork</t>
  </si>
  <si>
    <t>idjenisjurnaltarikd</t>
  </si>
  <si>
    <t>idjenisjurnaltarikk</t>
  </si>
  <si>
    <t>idjenisjurnal</t>
  </si>
  <si>
    <t>idnasabah</t>
  </si>
  <si>
    <t>Nama nasabah, nama yang pinjam, nama yang kembali</t>
  </si>
  <si>
    <t>tgltransaksi dari tsetor, ttarik, tpinjam, tangsur</t>
  </si>
  <si>
    <t>nomor bukti dari tsetor, ttarik, tpinjam, tangsur</t>
  </si>
  <si>
    <t>STR.20231225.0005</t>
  </si>
  <si>
    <t>nomor posting dari tsetor, ttarik, tpinjam, tangsur</t>
  </si>
  <si>
    <t>idcoa</t>
  </si>
  <si>
    <t>jurnal</t>
  </si>
  <si>
    <t>1.Ril</t>
  </si>
  <si>
    <t>2.Nominal</t>
  </si>
  <si>
    <t>1.Aktiva</t>
  </si>
  <si>
    <t>2.Pasiva</t>
  </si>
  <si>
    <t>3.LR</t>
  </si>
  <si>
    <t>RN(RIL/NOMINAL)</t>
  </si>
  <si>
    <t>APL(AKTIVA/PASIVA/LABARUGI)</t>
  </si>
  <si>
    <t>NL(NERACA LAJUR)</t>
  </si>
  <si>
    <t>SALDO AWAL</t>
  </si>
  <si>
    <t>PERUBAHAN</t>
  </si>
  <si>
    <t>PENYESUAIAN</t>
  </si>
  <si>
    <t>SETELAH DISESUAIKAN</t>
  </si>
  <si>
    <t>LABA RUGI</t>
  </si>
  <si>
    <t>EQUITAS</t>
  </si>
  <si>
    <t>SALDO AKHIR</t>
  </si>
  <si>
    <t>rn</t>
  </si>
  <si>
    <t>dari tabel kelompok</t>
  </si>
  <si>
    <t>dari tabel coa</t>
  </si>
  <si>
    <t>dari tabel jenisjurnal</t>
  </si>
  <si>
    <t>dari tabel nasabah</t>
  </si>
  <si>
    <t>apl</t>
  </si>
  <si>
    <t>1=ril, 2=nominal</t>
  </si>
  <si>
    <t>1=aktiva, 2=pasiva, 3=laba rugi</t>
  </si>
  <si>
    <t>dari tabel kategori</t>
  </si>
  <si>
    <t>nl</t>
  </si>
  <si>
    <t>posisi pada neraca lajur =&gt; 1=saldoawal, 2=perubahan dst</t>
  </si>
  <si>
    <t>bigint default 0,</t>
  </si>
  <si>
    <t>SETOR</t>
  </si>
  <si>
    <t>TARIK</t>
  </si>
  <si>
    <t>TRANSFER MASUK</t>
  </si>
  <si>
    <t>TRANSFER KELUAR</t>
  </si>
  <si>
    <t>STR</t>
  </si>
  <si>
    <t>TRK</t>
  </si>
  <si>
    <t>TFM</t>
  </si>
  <si>
    <t>TFK</t>
  </si>
  <si>
    <t>PJM</t>
  </si>
  <si>
    <t>PINJAM</t>
  </si>
  <si>
    <t>ANG</t>
  </si>
  <si>
    <t>ANGSURAN</t>
  </si>
  <si>
    <t>ADM</t>
  </si>
  <si>
    <t>ADMINISTRASI</t>
  </si>
  <si>
    <t>BNG</t>
  </si>
  <si>
    <t>BUNGA</t>
  </si>
  <si>
    <t>DEN</t>
  </si>
  <si>
    <t>DENDA</t>
  </si>
  <si>
    <t>idsandi</t>
  </si>
  <si>
    <t>dari tabel sandi. setor (01-STR), tarik(02-TRK), tfmasuk(03-TFM), tfkeluar(04-TFK), pinjam(05-PJM), angsur(06-ANG)</t>
  </si>
  <si>
    <t>id dari tsetor, ttarik, tpinjam, tangsur</t>
  </si>
  <si>
    <t>SANDI</t>
  </si>
  <si>
    <t>sandi</t>
  </si>
  <si>
    <t>varchar(3),</t>
  </si>
  <si>
    <t>alter table sandi add constraint unq1_sandi unique (kode);</t>
  </si>
  <si>
    <t>alter table sandi add constraint unq2_sandi unique (singkatan);</t>
  </si>
  <si>
    <t>alter table sandi add constraint unq3_sandi unique (sandi);</t>
  </si>
  <si>
    <t>singkatan</t>
  </si>
  <si>
    <t>tsetor</t>
  </si>
  <si>
    <t>jml setor</t>
  </si>
  <si>
    <t>alter table tsetor add constraint unq1_tsetor unique (idnasabah,nomorbukti);</t>
  </si>
  <si>
    <t>alter table tsetor add constraint fk_tsetor_1 foreign key (idnasabah) references nasabah (id);</t>
  </si>
  <si>
    <t>alter table jurnal add constraint unq1_jurnal unique (idsandi,nomorstatus, idstatus,idcoa,idnasabah);</t>
  </si>
  <si>
    <t>jenis jurnal</t>
  </si>
  <si>
    <t>ketegori</t>
  </si>
  <si>
    <t>posisinl</t>
  </si>
  <si>
    <t>tabungan setor</t>
  </si>
  <si>
    <t>coasetord, coasetork, coatarikd, coatarikk, coatransfermasukd, coatransfermasukk, coatransferkeluard, coatransferkeluark, jenisjurnalsetord, jenisjurnalsetork, jenisjurnaltarikd, jenisjurnaltarikk, jenisjurnaltransfermasukd, jenisjurnaltransfermasukk, jenisjurnaltransferkeluard, jenisjurnaltransferkeluark</t>
  </si>
  <si>
    <t>coa.blade.php</t>
  </si>
  <si>
    <t>COA</t>
  </si>
  <si>
    <t>produk.blade.php</t>
  </si>
  <si>
    <t>Produk BMS</t>
  </si>
  <si>
    <t>DAFTAR VIEW APLIKASI SIBM01</t>
  </si>
  <si>
    <t>Tabungan Setor</t>
  </si>
  <si>
    <t>ttarik</t>
  </si>
  <si>
    <t>jml tarik</t>
  </si>
  <si>
    <t>alter table ttarik add constraint unq1_ttarik unique (idnasabah,nomorbukti);</t>
  </si>
  <si>
    <t>alter table ttarik add constraint fk_ttarik_1 foreign key (idnasabah) references nasabah (id);</t>
  </si>
  <si>
    <t>created_at</t>
  </si>
  <si>
    <t>updated_at</t>
  </si>
  <si>
    <t>tfkeluar</t>
  </si>
  <si>
    <t>alter table tfkeluar add constraint unq1_tfkeluar unique (idnasabah,nomorbukti);</t>
  </si>
  <si>
    <t>alter table tfkeluar add constraint fk_tfkeluar_1 foreign key (idnasabah) references nasabah (id);</t>
  </si>
  <si>
    <t>idnasabaht</t>
  </si>
  <si>
    <t>alter table tfkeluar add constraint fk_tfkeluar_2 foreign key (idnasabaht) references nasabah (id);</t>
  </si>
  <si>
    <t>idcoatfkeluard</t>
  </si>
  <si>
    <t>idcoatfkeluark</t>
  </si>
  <si>
    <t>idcoatfmasukd</t>
  </si>
  <si>
    <t>idcoatfmasukk</t>
  </si>
  <si>
    <t>idjenisjurnaltfkeluard</t>
  </si>
  <si>
    <t>idjenisjurnaltfkeluark</t>
  </si>
  <si>
    <t>idjenisjurnaltfmasukd</t>
  </si>
  <si>
    <t>idjenisjurnaltfmasukk</t>
  </si>
  <si>
    <t>ALTER TABLE table_name
DROP INDEX constraint_name;</t>
  </si>
  <si>
    <t>ALTER TABLE db_sibm01.produk DROP FOREIGN KEY fk_produk_5</t>
  </si>
  <si>
    <t>tfmasuk</t>
  </si>
  <si>
    <t>alter table tfmasuk add constraint unq1_tfmasuk unique (idnasabah,nomorbukti);</t>
  </si>
  <si>
    <t>alter table tfmasuk add constraint fk_tfmasuk_1 foreign key (idnasabah) references nasabah (id);</t>
  </si>
  <si>
    <t>idnasabahs</t>
  </si>
  <si>
    <t>idnasabah sumber</t>
  </si>
  <si>
    <t>idnasabah target</t>
  </si>
  <si>
    <t>idtfkeluar</t>
  </si>
  <si>
    <t>idtfkeluar sumber</t>
  </si>
  <si>
    <t>jml tfmasuk</t>
  </si>
  <si>
    <t>jml tfkeluar</t>
  </si>
  <si>
    <t>alter table tfmasuk add constraint fk_tfmasuk_2 foreign key (idnasabahs) references nasabah (id);</t>
  </si>
  <si>
    <t>pengesahan</t>
  </si>
  <si>
    <t>varchar(6),</t>
  </si>
  <si>
    <t>6 digit dari akun user yg bertugas</t>
  </si>
  <si>
    <t>dari tabel nasabah target</t>
  </si>
  <si>
    <t>tabungan tarik</t>
  </si>
  <si>
    <t>tabungan transfer keluar</t>
  </si>
  <si>
    <t>tabungan transfer masuk</t>
  </si>
  <si>
    <t>tsetor.blade.php</t>
  </si>
  <si>
    <t>ttarik.blade.php</t>
  </si>
  <si>
    <t>tfmasuk.blade.php</t>
  </si>
  <si>
    <t>tfkeluar.blade.php</t>
  </si>
  <si>
    <t>Tabungan Tarik</t>
  </si>
  <si>
    <t>Transfer Masuk</t>
  </si>
  <si>
    <t>Transfer Keluar</t>
  </si>
  <si>
    <t>Nasabah</t>
  </si>
  <si>
    <t>rekeningkoran.blade.php</t>
  </si>
  <si>
    <t>jurnal.php</t>
  </si>
  <si>
    <t>Rekening Koran</t>
  </si>
  <si>
    <t>varchar(7) not null,</t>
  </si>
  <si>
    <t>uang</t>
  </si>
  <si>
    <t>varchar(20),</t>
  </si>
  <si>
    <t>bahan</t>
  </si>
  <si>
    <t>nilai</t>
  </si>
  <si>
    <t>alter table uang add constraint unq1_uang unique (uang);</t>
  </si>
  <si>
    <t>gambar</t>
  </si>
  <si>
    <t>varchar(255),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</si>
</sst>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"/>
    <numFmt numFmtId="165" formatCode=";;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color rgb="FF000000"/>
      <name val="Arial"/>
      <family val="2"/>
    </font>
    <font>
      <sz val="8"/>
      <color rgb="FF080000"/>
      <name val="Tahoma"/>
      <family val="2"/>
    </font>
    <font>
      <sz val="10"/>
      <color rgb="FF080000"/>
      <name val="Arial"/>
      <family val="2"/>
    </font>
    <font>
      <sz val="8"/>
      <color theme="0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charset val="1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2"/>
      <color rgb="FF0D3958"/>
      <name val="Arial"/>
      <family val="2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1">
    <xf numFmtId="0" fontId="0" fillId="0" borderId="0"/>
    <xf numFmtId="0" fontId="5" fillId="3" borderId="0">
      <alignment horizontal="left" vertical="top"/>
    </xf>
    <xf numFmtId="0" fontId="6" fillId="4" borderId="0">
      <alignment horizontal="left" vertical="center"/>
    </xf>
    <xf numFmtId="0" fontId="7" fillId="3" borderId="0">
      <alignment horizontal="right" vertical="top"/>
    </xf>
    <xf numFmtId="0" fontId="6" fillId="3" borderId="0">
      <alignment horizontal="left" vertical="top"/>
    </xf>
    <xf numFmtId="0" fontId="6" fillId="3" borderId="0">
      <alignment horizontal="right" vertical="center"/>
    </xf>
    <xf numFmtId="0" fontId="6" fillId="3" borderId="0">
      <alignment horizontal="left" vertical="center"/>
    </xf>
    <xf numFmtId="0" fontId="7" fillId="3" borderId="0">
      <alignment horizontal="right" vertical="top"/>
    </xf>
    <xf numFmtId="0" fontId="9" fillId="0" borderId="0"/>
    <xf numFmtId="0" fontId="13" fillId="9" borderId="0" applyNumberFormat="0" applyBorder="0" applyAlignment="0" applyProtection="0"/>
    <xf numFmtId="0" fontId="4" fillId="0" borderId="0"/>
  </cellStyleXfs>
  <cellXfs count="68">
    <xf numFmtId="0" fontId="0" fillId="0" borderId="0" xfId="0"/>
    <xf numFmtId="0" fontId="0" fillId="2" borderId="0" xfId="0" applyFill="1"/>
    <xf numFmtId="0" fontId="6" fillId="3" borderId="1" xfId="6" applyBorder="1" applyAlignment="1">
      <alignment horizontal="left" vertical="center" wrapText="1"/>
    </xf>
    <xf numFmtId="0" fontId="8" fillId="4" borderId="1" xfId="2" applyFont="1" applyBorder="1" applyAlignment="1">
      <alignment horizontal="left" vertical="center" wrapText="1"/>
    </xf>
    <xf numFmtId="164" fontId="10" fillId="0" borderId="0" xfId="8" applyNumberFormat="1" applyFont="1"/>
    <xf numFmtId="165" fontId="10" fillId="0" borderId="0" xfId="8" applyNumberFormat="1" applyFont="1"/>
    <xf numFmtId="0" fontId="0" fillId="0" borderId="1" xfId="0" applyBorder="1"/>
    <xf numFmtId="164" fontId="6" fillId="3" borderId="1" xfId="5" applyNumberFormat="1" applyBorder="1" applyAlignment="1">
      <alignment horizontal="right" vertical="center" wrapText="1"/>
    </xf>
    <xf numFmtId="0" fontId="9" fillId="0" borderId="0" xfId="8"/>
    <xf numFmtId="0" fontId="0" fillId="0" borderId="0" xfId="0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7" borderId="0" xfId="0" applyFill="1"/>
    <xf numFmtId="0" fontId="0" fillId="0" borderId="1" xfId="0" applyBorder="1" applyAlignment="1">
      <alignment horizontal="center" vertical="center" wrapText="1"/>
    </xf>
    <xf numFmtId="0" fontId="0" fillId="8" borderId="0" xfId="0" applyFill="1"/>
    <xf numFmtId="0" fontId="0" fillId="2" borderId="1" xfId="0" applyFill="1" applyBorder="1"/>
    <xf numFmtId="0" fontId="0" fillId="7" borderId="1" xfId="0" applyFill="1" applyBorder="1"/>
    <xf numFmtId="0" fontId="0" fillId="7" borderId="1" xfId="0" quotePrefix="1" applyFill="1" applyBorder="1"/>
    <xf numFmtId="0" fontId="14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4" fillId="0" borderId="0" xfId="10" applyAlignment="1">
      <alignment vertical="center"/>
    </xf>
    <xf numFmtId="0" fontId="3" fillId="0" borderId="0" xfId="10" quotePrefix="1" applyFont="1" applyAlignment="1">
      <alignment vertical="center"/>
    </xf>
    <xf numFmtId="0" fontId="13" fillId="9" borderId="0" xfId="9" applyBorder="1" applyAlignment="1">
      <alignment vertical="center"/>
    </xf>
    <xf numFmtId="0" fontId="3" fillId="0" borderId="0" xfId="10" applyFont="1" applyAlignment="1">
      <alignment vertical="center"/>
    </xf>
    <xf numFmtId="0" fontId="18" fillId="3" borderId="0" xfId="10" applyFont="1" applyFill="1" applyAlignment="1">
      <alignment horizontal="center" vertical="center" wrapText="1"/>
    </xf>
    <xf numFmtId="49" fontId="18" fillId="3" borderId="0" xfId="10" applyNumberFormat="1" applyFont="1" applyFill="1" applyAlignment="1">
      <alignment horizontal="center" vertical="center" wrapText="1"/>
    </xf>
    <xf numFmtId="49" fontId="4" fillId="0" borderId="0" xfId="10" applyNumberFormat="1" applyAlignment="1">
      <alignment vertical="center"/>
    </xf>
    <xf numFmtId="0" fontId="13" fillId="0" borderId="0" xfId="9" applyFill="1" applyBorder="1" applyAlignment="1">
      <alignment vertical="center"/>
    </xf>
    <xf numFmtId="20" fontId="3" fillId="0" borderId="0" xfId="10" applyNumberFormat="1" applyFont="1" applyAlignment="1">
      <alignment vertical="center"/>
    </xf>
    <xf numFmtId="0" fontId="2" fillId="0" borderId="0" xfId="10" applyFont="1" applyAlignment="1">
      <alignment vertical="center"/>
    </xf>
    <xf numFmtId="49" fontId="2" fillId="0" borderId="0" xfId="10" applyNumberFormat="1" applyFont="1" applyAlignment="1">
      <alignment vertical="center"/>
    </xf>
    <xf numFmtId="49" fontId="1" fillId="0" borderId="0" xfId="10" applyNumberFormat="1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</cellXfs>
  <cellStyles count="11">
    <cellStyle name="Accent2" xfId="9" builtinId="33"/>
    <cellStyle name="Normal" xfId="0" builtinId="0"/>
    <cellStyle name="Normal 2" xfId="8" xr:uid="{3B30C91D-D39D-493D-8632-557468D6D1C7}"/>
    <cellStyle name="Normal 3" xfId="10" xr:uid="{543C3204-43CA-48B5-ACA8-1343AF9D4352}"/>
    <cellStyle name="S0" xfId="1" xr:uid="{F6FBD4F3-AAD1-4C5C-ACD4-1252FC21401E}"/>
    <cellStyle name="S1" xfId="2" xr:uid="{721A63C6-06FD-4B75-B8E3-99376FD9221A}"/>
    <cellStyle name="S2" xfId="3" xr:uid="{A7A48C9A-CFDB-46F2-B713-B5011BE01575}"/>
    <cellStyle name="S3" xfId="4" xr:uid="{F935D35F-2A82-44F0-959B-55C745C09A40}"/>
    <cellStyle name="S4" xfId="5" xr:uid="{333F091F-2C92-411A-9366-70F8D6C960B0}"/>
    <cellStyle name="S5" xfId="6" xr:uid="{9B75D6C9-79AA-4381-863D-7596A5E0D228}"/>
    <cellStyle name="S6" xfId="7" xr:uid="{7D80DBF8-FA01-462C-B388-F553BDA049DE}"/>
  </cellStyles>
  <dxfs count="8"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08AE-B22B-4E31-AE5D-0C6E44034409}">
  <sheetPr codeName="Sheet1">
    <tabColor theme="9"/>
  </sheetPr>
  <dimension ref="A1:M55"/>
  <sheetViews>
    <sheetView topLeftCell="A3" workbookViewId="0">
      <selection activeCell="A15" sqref="A15"/>
    </sheetView>
  </sheetViews>
  <sheetFormatPr defaultRowHeight="15" x14ac:dyDescent="0.25"/>
  <cols>
    <col min="1" max="1" width="4.7109375" style="9" customWidth="1"/>
    <col min="2" max="2" width="19" style="9" bestFit="1" customWidth="1"/>
    <col min="3" max="3" width="6.85546875" style="9" bestFit="1" customWidth="1"/>
    <col min="4" max="4" width="20.7109375" style="9" bestFit="1" customWidth="1"/>
    <col min="5" max="5" width="23.42578125" style="9" bestFit="1" customWidth="1"/>
    <col min="6" max="6" width="6.85546875" style="9" bestFit="1" customWidth="1"/>
    <col min="7" max="7" width="28.85546875" style="9" bestFit="1" customWidth="1"/>
    <col min="8" max="8" width="6.85546875" style="9" bestFit="1" customWidth="1"/>
    <col min="9" max="9" width="32.7109375" style="9" bestFit="1" customWidth="1"/>
    <col min="10" max="10" width="6.85546875" style="9" bestFit="1" customWidth="1"/>
    <col min="11" max="11" width="32.85546875" style="9" bestFit="1" customWidth="1"/>
    <col min="12" max="12" width="6.28515625" style="9" customWidth="1"/>
    <col min="13" max="13" width="6.7109375" style="9" customWidth="1"/>
    <col min="14" max="16384" width="9.140625" style="9"/>
  </cols>
  <sheetData>
    <row r="1" spans="1:13" x14ac:dyDescent="0.25">
      <c r="A1" s="9" t="s">
        <v>32</v>
      </c>
    </row>
    <row r="3" spans="1:13" x14ac:dyDescent="0.25">
      <c r="A3" s="55" t="s">
        <v>8</v>
      </c>
      <c r="B3" s="57" t="s">
        <v>26</v>
      </c>
      <c r="C3" s="58"/>
      <c r="D3" s="55" t="s">
        <v>28</v>
      </c>
      <c r="E3" s="61" t="s">
        <v>10</v>
      </c>
      <c r="F3" s="61"/>
      <c r="G3" s="61"/>
      <c r="H3" s="61"/>
      <c r="I3" s="61"/>
      <c r="J3" s="61"/>
      <c r="K3" s="55" t="s">
        <v>13</v>
      </c>
      <c r="L3" s="59" t="s">
        <v>9</v>
      </c>
      <c r="M3" s="60"/>
    </row>
    <row r="4" spans="1:13" x14ac:dyDescent="0.25">
      <c r="A4" s="56"/>
      <c r="B4" s="18" t="s">
        <v>25</v>
      </c>
      <c r="C4" s="18" t="s">
        <v>24</v>
      </c>
      <c r="D4" s="56"/>
      <c r="E4" s="19" t="s">
        <v>22</v>
      </c>
      <c r="F4" s="18" t="s">
        <v>24</v>
      </c>
      <c r="G4" s="19" t="s">
        <v>11</v>
      </c>
      <c r="H4" s="18" t="s">
        <v>24</v>
      </c>
      <c r="I4" s="19" t="s">
        <v>12</v>
      </c>
      <c r="J4" s="18" t="s">
        <v>24</v>
      </c>
      <c r="K4" s="56"/>
      <c r="L4" s="20"/>
      <c r="M4" s="20"/>
    </row>
    <row r="5" spans="1:13" s="33" customFormat="1" x14ac:dyDescent="0.25">
      <c r="A5" s="30">
        <v>1</v>
      </c>
      <c r="B5" s="31" t="s">
        <v>147</v>
      </c>
      <c r="C5" s="30" t="s">
        <v>45</v>
      </c>
      <c r="D5" s="31" t="s">
        <v>48</v>
      </c>
      <c r="E5" s="31" t="str">
        <f t="shared" ref="E5:E14" si="0">PROPER(B5)&amp;".php"</f>
        <v>Coa.php</v>
      </c>
      <c r="F5" s="30" t="s">
        <v>45</v>
      </c>
      <c r="G5" s="31" t="str">
        <f>LOWER(B5)&amp;".blade.php"</f>
        <v>coa.blade.php</v>
      </c>
      <c r="H5" s="30" t="s">
        <v>45</v>
      </c>
      <c r="I5" s="31" t="str">
        <f>PROPER(B5)&amp;"Controller.php"</f>
        <v>CoaController.php</v>
      </c>
      <c r="J5" s="30" t="s">
        <v>45</v>
      </c>
      <c r="K5" s="31" t="s">
        <v>147</v>
      </c>
      <c r="L5" s="31"/>
      <c r="M5" s="31"/>
    </row>
    <row r="6" spans="1:13" s="33" customFormat="1" x14ac:dyDescent="0.25">
      <c r="A6" s="30">
        <v>2</v>
      </c>
      <c r="B6" s="31" t="s">
        <v>194</v>
      </c>
      <c r="C6" s="30" t="s">
        <v>45</v>
      </c>
      <c r="D6" s="31"/>
      <c r="E6" s="31" t="str">
        <f t="shared" si="0"/>
        <v>Jenisjurnal.php</v>
      </c>
      <c r="F6" s="30" t="s">
        <v>45</v>
      </c>
      <c r="G6" s="31"/>
      <c r="H6" s="30"/>
      <c r="I6" s="31"/>
      <c r="J6" s="30"/>
      <c r="K6" s="31" t="s">
        <v>269</v>
      </c>
      <c r="L6" s="31"/>
      <c r="M6" s="31"/>
    </row>
    <row r="7" spans="1:13" s="33" customFormat="1" x14ac:dyDescent="0.25">
      <c r="A7" s="30">
        <v>3</v>
      </c>
      <c r="B7" s="31" t="s">
        <v>208</v>
      </c>
      <c r="C7" s="30" t="s">
        <v>45</v>
      </c>
      <c r="D7" s="31"/>
      <c r="E7" s="31" t="str">
        <f t="shared" si="0"/>
        <v>Jurnal.php</v>
      </c>
      <c r="F7" s="30" t="s">
        <v>45</v>
      </c>
      <c r="G7" s="31"/>
      <c r="H7" s="30"/>
      <c r="I7" s="31"/>
      <c r="J7" s="30"/>
      <c r="K7" s="31" t="s">
        <v>208</v>
      </c>
      <c r="L7" s="31"/>
      <c r="M7" s="31"/>
    </row>
    <row r="8" spans="1:13" s="33" customFormat="1" x14ac:dyDescent="0.25">
      <c r="A8" s="30">
        <v>4</v>
      </c>
      <c r="B8" s="31" t="s">
        <v>94</v>
      </c>
      <c r="C8" s="30" t="s">
        <v>45</v>
      </c>
      <c r="D8" s="32" t="s">
        <v>164</v>
      </c>
      <c r="E8" s="31" t="str">
        <f t="shared" si="0"/>
        <v>Nasabah.php</v>
      </c>
      <c r="F8" s="30" t="s">
        <v>45</v>
      </c>
      <c r="G8" s="31" t="str">
        <f>LOWER(B8)&amp;".blade.php"</f>
        <v>nasabah.blade.php</v>
      </c>
      <c r="H8" s="30" t="s">
        <v>45</v>
      </c>
      <c r="I8" s="31" t="str">
        <f>PROPER(B8)&amp;"Controller.php"</f>
        <v>NasabahController.php</v>
      </c>
      <c r="J8" s="30" t="s">
        <v>45</v>
      </c>
      <c r="K8" s="31" t="s">
        <v>94</v>
      </c>
      <c r="L8" s="31"/>
      <c r="M8" s="31"/>
    </row>
    <row r="9" spans="1:13" s="33" customFormat="1" x14ac:dyDescent="0.25">
      <c r="A9" s="30">
        <v>5</v>
      </c>
      <c r="B9" s="31" t="s">
        <v>48</v>
      </c>
      <c r="C9" s="30" t="s">
        <v>45</v>
      </c>
      <c r="D9" s="31"/>
      <c r="E9" s="31" t="str">
        <f t="shared" si="0"/>
        <v>Kategori.php</v>
      </c>
      <c r="F9" s="30" t="s">
        <v>45</v>
      </c>
      <c r="G9" s="31"/>
      <c r="H9" s="30"/>
      <c r="I9" s="31"/>
      <c r="J9" s="30"/>
      <c r="K9" s="31" t="s">
        <v>270</v>
      </c>
      <c r="L9" s="31"/>
      <c r="M9" s="31"/>
    </row>
    <row r="10" spans="1:13" s="33" customFormat="1" x14ac:dyDescent="0.25">
      <c r="A10" s="30">
        <v>6</v>
      </c>
      <c r="B10" s="31" t="s">
        <v>103</v>
      </c>
      <c r="C10" s="30" t="s">
        <v>45</v>
      </c>
      <c r="D10" s="32" t="s">
        <v>48</v>
      </c>
      <c r="E10" s="31" t="str">
        <f t="shared" si="0"/>
        <v>Kelompok.php</v>
      </c>
      <c r="F10" s="30" t="s">
        <v>45</v>
      </c>
      <c r="G10" s="31"/>
      <c r="H10" s="30"/>
      <c r="I10" s="31"/>
      <c r="J10" s="30"/>
      <c r="K10" s="31" t="s">
        <v>103</v>
      </c>
      <c r="L10" s="31"/>
      <c r="M10" s="31"/>
    </row>
    <row r="11" spans="1:13" s="33" customFormat="1" x14ac:dyDescent="0.25">
      <c r="A11" s="30">
        <v>7</v>
      </c>
      <c r="B11" s="31" t="s">
        <v>271</v>
      </c>
      <c r="C11" s="30" t="s">
        <v>45</v>
      </c>
      <c r="D11" s="31"/>
      <c r="E11" s="31" t="str">
        <f t="shared" si="0"/>
        <v>Posisinl.php</v>
      </c>
      <c r="F11" s="30" t="s">
        <v>45</v>
      </c>
      <c r="G11" s="31"/>
      <c r="H11" s="30"/>
      <c r="I11" s="31"/>
      <c r="J11" s="30"/>
      <c r="K11" s="31" t="s">
        <v>270</v>
      </c>
      <c r="L11" s="31"/>
      <c r="M11" s="31"/>
    </row>
    <row r="12" spans="1:13" s="33" customFormat="1" x14ac:dyDescent="0.25">
      <c r="A12" s="30">
        <v>8</v>
      </c>
      <c r="B12" s="31" t="s">
        <v>164</v>
      </c>
      <c r="C12" s="30" t="s">
        <v>45</v>
      </c>
      <c r="D12" s="29" t="s">
        <v>273</v>
      </c>
      <c r="E12" s="31" t="str">
        <f t="shared" si="0"/>
        <v>Produk.php</v>
      </c>
      <c r="F12" s="30" t="s">
        <v>45</v>
      </c>
      <c r="G12" s="31" t="str">
        <f>LOWER(B12)&amp;".blade.php"</f>
        <v>produk.blade.php</v>
      </c>
      <c r="H12" s="30" t="s">
        <v>45</v>
      </c>
      <c r="I12" s="31" t="str">
        <f>PROPER(B12)&amp;"Controller.php"</f>
        <v>ProdukController.php</v>
      </c>
      <c r="J12" s="30" t="s">
        <v>45</v>
      </c>
      <c r="K12" s="31" t="s">
        <v>164</v>
      </c>
      <c r="L12" s="31"/>
      <c r="M12" s="31"/>
    </row>
    <row r="13" spans="1:13" s="33" customFormat="1" x14ac:dyDescent="0.25">
      <c r="A13" s="30">
        <v>9</v>
      </c>
      <c r="B13" s="31" t="s">
        <v>258</v>
      </c>
      <c r="C13" s="30" t="s">
        <v>45</v>
      </c>
      <c r="D13" s="31"/>
      <c r="E13" s="31" t="str">
        <f t="shared" si="0"/>
        <v>Sandi.php</v>
      </c>
      <c r="F13" s="30" t="s">
        <v>45</v>
      </c>
      <c r="G13" s="31"/>
      <c r="H13" s="30"/>
      <c r="I13" s="31"/>
      <c r="J13" s="30"/>
      <c r="K13" s="31" t="s">
        <v>258</v>
      </c>
      <c r="L13" s="31"/>
      <c r="M13" s="31"/>
    </row>
    <row r="14" spans="1:13" s="33" customFormat="1" x14ac:dyDescent="0.25">
      <c r="A14" s="30">
        <v>10</v>
      </c>
      <c r="B14" s="31" t="s">
        <v>264</v>
      </c>
      <c r="C14" s="30" t="s">
        <v>45</v>
      </c>
      <c r="D14" s="32" t="s">
        <v>94</v>
      </c>
      <c r="E14" s="31" t="str">
        <f t="shared" si="0"/>
        <v>Tsetor.php</v>
      </c>
      <c r="F14" s="30" t="s">
        <v>45</v>
      </c>
      <c r="G14" s="31" t="str">
        <f>LOWER(B14)&amp;".blade.php"</f>
        <v>tsetor.blade.php</v>
      </c>
      <c r="H14" s="30" t="s">
        <v>45</v>
      </c>
      <c r="I14" s="31" t="str">
        <f>PROPER(B14)&amp;"Controller.php"</f>
        <v>TsetorController.php</v>
      </c>
      <c r="J14" s="30" t="s">
        <v>45</v>
      </c>
      <c r="K14" s="31" t="s">
        <v>272</v>
      </c>
      <c r="L14" s="31"/>
      <c r="M14" s="31"/>
    </row>
    <row r="15" spans="1:13" s="33" customFormat="1" x14ac:dyDescent="0.25">
      <c r="A15" s="30">
        <v>10</v>
      </c>
      <c r="B15" s="31" t="s">
        <v>280</v>
      </c>
      <c r="C15" s="30" t="s">
        <v>45</v>
      </c>
      <c r="D15" s="32" t="s">
        <v>94</v>
      </c>
      <c r="E15" s="31" t="str">
        <f t="shared" ref="E15:E17" si="1">PROPER(B15)&amp;".php"</f>
        <v>Ttarik.php</v>
      </c>
      <c r="F15" s="30" t="s">
        <v>45</v>
      </c>
      <c r="G15" s="31" t="str">
        <f t="shared" ref="G15:G17" si="2">LOWER(B15)&amp;".blade.php"</f>
        <v>ttarik.blade.php</v>
      </c>
      <c r="H15" s="30" t="s">
        <v>45</v>
      </c>
      <c r="I15" s="31" t="str">
        <f t="shared" ref="I15:I17" si="3">PROPER(B15)&amp;"Controller.php"</f>
        <v>TtarikController.php</v>
      </c>
      <c r="J15" s="30" t="s">
        <v>45</v>
      </c>
      <c r="K15" s="31" t="s">
        <v>316</v>
      </c>
      <c r="L15" s="31"/>
      <c r="M15" s="31"/>
    </row>
    <row r="16" spans="1:13" s="33" customFormat="1" x14ac:dyDescent="0.25">
      <c r="A16" s="30">
        <v>10</v>
      </c>
      <c r="B16" s="31" t="s">
        <v>286</v>
      </c>
      <c r="C16" s="30" t="s">
        <v>45</v>
      </c>
      <c r="D16" s="32" t="s">
        <v>94</v>
      </c>
      <c r="E16" s="31" t="str">
        <f t="shared" si="1"/>
        <v>Tfkeluar.php</v>
      </c>
      <c r="F16" s="30" t="s">
        <v>45</v>
      </c>
      <c r="G16" s="31" t="str">
        <f t="shared" si="2"/>
        <v>tfkeluar.blade.php</v>
      </c>
      <c r="H16" s="30" t="s">
        <v>45</v>
      </c>
      <c r="I16" s="31" t="str">
        <f t="shared" si="3"/>
        <v>TfkeluarController.php</v>
      </c>
      <c r="J16" s="30" t="s">
        <v>45</v>
      </c>
      <c r="K16" s="31" t="s">
        <v>317</v>
      </c>
      <c r="L16" s="31"/>
      <c r="M16" s="31"/>
    </row>
    <row r="17" spans="1:13" s="33" customFormat="1" x14ac:dyDescent="0.25">
      <c r="A17" s="30">
        <v>10</v>
      </c>
      <c r="B17" s="31" t="s">
        <v>301</v>
      </c>
      <c r="C17" s="30" t="s">
        <v>45</v>
      </c>
      <c r="D17" s="32" t="s">
        <v>94</v>
      </c>
      <c r="E17" s="31" t="str">
        <f t="shared" si="1"/>
        <v>Tfmasuk.php</v>
      </c>
      <c r="F17" s="30" t="s">
        <v>45</v>
      </c>
      <c r="G17" s="31" t="str">
        <f t="shared" si="2"/>
        <v>tfmasuk.blade.php</v>
      </c>
      <c r="H17" s="30" t="s">
        <v>45</v>
      </c>
      <c r="I17" s="31" t="str">
        <f t="shared" si="3"/>
        <v>TfmasukController.php</v>
      </c>
      <c r="J17" s="30" t="s">
        <v>45</v>
      </c>
      <c r="K17" s="31" t="s">
        <v>318</v>
      </c>
      <c r="L17" s="31"/>
      <c r="M17" s="31"/>
    </row>
    <row r="18" spans="1:13" x14ac:dyDescent="0.25">
      <c r="A18" s="13"/>
      <c r="B18" s="11"/>
      <c r="C18" s="13"/>
      <c r="D18" s="11"/>
      <c r="E18" s="11"/>
      <c r="F18" s="13"/>
      <c r="G18" s="11"/>
      <c r="H18" s="13"/>
      <c r="I18" s="21"/>
      <c r="J18" s="13"/>
      <c r="K18" s="11"/>
      <c r="L18" s="11"/>
      <c r="M18" s="11"/>
    </row>
    <row r="19" spans="1:13" x14ac:dyDescent="0.25">
      <c r="A19" s="13"/>
      <c r="B19" s="11"/>
      <c r="C19" s="13"/>
      <c r="D19" s="11"/>
      <c r="E19" s="11"/>
      <c r="F19" s="13"/>
      <c r="G19" s="11"/>
      <c r="H19" s="13"/>
      <c r="I19" s="21"/>
      <c r="J19" s="13"/>
      <c r="K19" s="11"/>
      <c r="L19" s="11"/>
      <c r="M19" s="11"/>
    </row>
    <row r="20" spans="1:13" x14ac:dyDescent="0.25">
      <c r="A20" s="13"/>
      <c r="B20" s="11"/>
      <c r="C20" s="13"/>
      <c r="D20" s="11"/>
      <c r="E20" s="11"/>
      <c r="F20" s="13"/>
      <c r="G20" s="11"/>
      <c r="H20" s="13"/>
      <c r="I20" s="11"/>
      <c r="J20" s="13"/>
      <c r="K20" s="11"/>
      <c r="L20" s="11"/>
      <c r="M20" s="11"/>
    </row>
    <row r="21" spans="1:13" x14ac:dyDescent="0.25">
      <c r="A21" s="13"/>
      <c r="B21" s="11"/>
      <c r="C21" s="13"/>
      <c r="D21" s="11"/>
      <c r="E21" s="11"/>
      <c r="F21" s="13"/>
      <c r="G21" s="11"/>
      <c r="H21" s="13"/>
      <c r="I21" s="11"/>
      <c r="J21" s="13"/>
      <c r="K21" s="11"/>
      <c r="L21" s="11"/>
      <c r="M21" s="11"/>
    </row>
    <row r="22" spans="1:13" x14ac:dyDescent="0.25">
      <c r="A22" s="13"/>
      <c r="B22" s="11"/>
      <c r="C22" s="13"/>
      <c r="D22" s="11"/>
      <c r="E22" s="11"/>
      <c r="F22" s="13"/>
      <c r="G22" s="11"/>
      <c r="H22" s="13"/>
      <c r="I22" s="11"/>
      <c r="J22" s="13"/>
      <c r="K22" s="11"/>
      <c r="L22" s="11"/>
      <c r="M22" s="11"/>
    </row>
    <row r="23" spans="1:13" x14ac:dyDescent="0.25">
      <c r="A23" s="13"/>
      <c r="B23" s="11"/>
      <c r="C23" s="13"/>
      <c r="D23" s="11"/>
      <c r="E23" s="11"/>
      <c r="F23" s="13"/>
      <c r="G23" s="11"/>
      <c r="H23" s="13"/>
      <c r="I23" s="11"/>
      <c r="J23" s="13"/>
      <c r="K23" s="11"/>
      <c r="L23" s="11"/>
      <c r="M23" s="11"/>
    </row>
    <row r="24" spans="1:13" x14ac:dyDescent="0.25">
      <c r="A24" s="13"/>
      <c r="B24" s="11"/>
      <c r="C24" s="13"/>
      <c r="D24" s="11"/>
      <c r="E24" s="11"/>
      <c r="F24" s="13"/>
      <c r="G24" s="11"/>
      <c r="H24" s="13"/>
      <c r="I24" s="11"/>
      <c r="J24" s="13"/>
      <c r="K24" s="11"/>
      <c r="L24" s="11"/>
      <c r="M24" s="11"/>
    </row>
    <row r="25" spans="1:13" x14ac:dyDescent="0.25">
      <c r="A25" s="13"/>
      <c r="B25" s="11"/>
      <c r="C25" s="13"/>
      <c r="D25" s="11"/>
      <c r="E25" s="11"/>
      <c r="F25" s="13"/>
      <c r="G25" s="11"/>
      <c r="H25" s="13"/>
      <c r="I25" s="11"/>
      <c r="J25" s="13"/>
      <c r="K25" s="11"/>
      <c r="L25" s="11"/>
      <c r="M25" s="11"/>
    </row>
    <row r="26" spans="1:13" x14ac:dyDescent="0.25">
      <c r="A26" s="13"/>
      <c r="B26" s="11"/>
      <c r="C26" s="13"/>
      <c r="D26" s="11"/>
      <c r="E26" s="11"/>
      <c r="F26" s="13"/>
      <c r="G26" s="11"/>
      <c r="H26" s="13"/>
      <c r="I26" s="11"/>
      <c r="J26" s="13"/>
      <c r="K26" s="11"/>
      <c r="L26" s="11"/>
      <c r="M26" s="11"/>
    </row>
    <row r="27" spans="1:13" x14ac:dyDescent="0.25">
      <c r="A27" s="13"/>
      <c r="B27" s="11"/>
      <c r="C27" s="13"/>
      <c r="D27" s="11"/>
      <c r="E27" s="11"/>
      <c r="F27" s="13"/>
      <c r="G27" s="11"/>
      <c r="H27" s="13"/>
      <c r="I27" s="21"/>
      <c r="J27" s="13"/>
      <c r="K27" s="11"/>
      <c r="L27" s="11"/>
      <c r="M27" s="11"/>
    </row>
    <row r="28" spans="1:13" x14ac:dyDescent="0.25">
      <c r="A28" s="13"/>
      <c r="B28" s="11"/>
      <c r="C28" s="13"/>
      <c r="D28" s="11"/>
      <c r="E28" s="11"/>
      <c r="F28" s="13"/>
      <c r="G28" s="11"/>
      <c r="H28" s="13"/>
      <c r="I28" s="11"/>
      <c r="J28" s="13"/>
      <c r="K28" s="11"/>
      <c r="L28" s="11"/>
      <c r="M28" s="11"/>
    </row>
    <row r="29" spans="1:13" x14ac:dyDescent="0.25">
      <c r="A29" s="13">
        <v>30</v>
      </c>
      <c r="B29" s="11"/>
      <c r="C29" s="13"/>
      <c r="D29" s="11"/>
      <c r="E29" s="11"/>
      <c r="F29" s="13"/>
      <c r="G29" s="11"/>
      <c r="H29" s="13"/>
      <c r="I29" s="11"/>
      <c r="J29" s="13"/>
      <c r="K29" s="11"/>
      <c r="L29" s="11"/>
      <c r="M29" s="11"/>
    </row>
    <row r="30" spans="1:13" x14ac:dyDescent="0.25">
      <c r="A30" s="13">
        <v>31</v>
      </c>
      <c r="B30" s="11"/>
      <c r="C30" s="13"/>
      <c r="D30" s="11"/>
      <c r="E30" s="11"/>
      <c r="F30" s="13"/>
      <c r="G30" s="11"/>
      <c r="H30" s="13"/>
      <c r="I30" s="11"/>
      <c r="J30" s="13"/>
      <c r="K30" s="11"/>
      <c r="L30" s="11"/>
      <c r="M30" s="11"/>
    </row>
    <row r="31" spans="1:13" x14ac:dyDescent="0.25">
      <c r="A31" s="13">
        <v>32</v>
      </c>
      <c r="B31" s="11"/>
      <c r="C31" s="13"/>
      <c r="D31" s="11"/>
      <c r="E31" s="11"/>
      <c r="F31" s="13"/>
      <c r="G31" s="11"/>
      <c r="H31" s="13"/>
      <c r="I31" s="11"/>
      <c r="J31" s="13"/>
      <c r="K31" s="11"/>
      <c r="L31" s="11"/>
      <c r="M31" s="11"/>
    </row>
    <row r="32" spans="1:13" x14ac:dyDescent="0.25">
      <c r="A32" s="13">
        <v>33</v>
      </c>
      <c r="B32" s="11"/>
      <c r="C32" s="13"/>
      <c r="D32" s="11"/>
      <c r="E32" s="11"/>
      <c r="F32" s="13"/>
      <c r="G32" s="11"/>
      <c r="H32" s="13"/>
      <c r="I32" s="11"/>
      <c r="J32" s="13"/>
      <c r="K32" s="11"/>
      <c r="L32" s="11"/>
      <c r="M32" s="11"/>
    </row>
    <row r="33" spans="1:13" x14ac:dyDescent="0.25">
      <c r="A33" s="13">
        <v>34</v>
      </c>
      <c r="B33" s="11"/>
      <c r="C33" s="13"/>
      <c r="D33" s="11"/>
      <c r="E33" s="11"/>
      <c r="F33" s="13"/>
      <c r="G33" s="11"/>
      <c r="H33" s="13"/>
      <c r="I33" s="11"/>
      <c r="J33" s="13"/>
      <c r="K33" s="11"/>
      <c r="L33" s="11"/>
      <c r="M33" s="11"/>
    </row>
    <row r="34" spans="1:13" x14ac:dyDescent="0.25">
      <c r="A34" s="13">
        <v>35</v>
      </c>
      <c r="B34" s="11"/>
      <c r="C34" s="13"/>
      <c r="D34" s="11"/>
      <c r="E34" s="11"/>
      <c r="F34" s="13"/>
      <c r="G34" s="11"/>
      <c r="H34" s="13"/>
      <c r="I34" s="11"/>
      <c r="J34" s="13"/>
      <c r="K34" s="11"/>
      <c r="L34" s="11"/>
      <c r="M34" s="11"/>
    </row>
    <row r="35" spans="1:13" x14ac:dyDescent="0.25">
      <c r="A35" s="13">
        <v>36</v>
      </c>
      <c r="B35" s="11"/>
      <c r="C35" s="13"/>
      <c r="D35" s="11"/>
      <c r="E35" s="11"/>
      <c r="F35" s="13"/>
      <c r="G35" s="11"/>
      <c r="H35" s="13"/>
      <c r="I35" s="11"/>
      <c r="J35" s="13"/>
      <c r="K35" s="11"/>
      <c r="L35" s="11"/>
      <c r="M35" s="11"/>
    </row>
    <row r="36" spans="1:13" x14ac:dyDescent="0.25">
      <c r="A36" s="13">
        <v>37</v>
      </c>
      <c r="B36" s="11"/>
      <c r="C36" s="13"/>
      <c r="D36" s="11"/>
      <c r="E36" s="11"/>
      <c r="F36" s="13"/>
      <c r="G36" s="11"/>
      <c r="H36" s="13"/>
      <c r="I36" s="11"/>
      <c r="J36" s="13"/>
      <c r="K36" s="11"/>
      <c r="L36" s="11"/>
      <c r="M36" s="11"/>
    </row>
    <row r="37" spans="1:13" x14ac:dyDescent="0.25">
      <c r="A37" s="13">
        <v>38</v>
      </c>
      <c r="B37" s="11"/>
      <c r="C37" s="13"/>
      <c r="D37" s="11"/>
      <c r="E37" s="11"/>
      <c r="F37" s="13"/>
      <c r="G37" s="11"/>
      <c r="H37" s="13"/>
      <c r="I37" s="11"/>
      <c r="J37" s="13"/>
      <c r="K37" s="11"/>
      <c r="L37" s="11"/>
      <c r="M37" s="11"/>
    </row>
    <row r="38" spans="1:13" x14ac:dyDescent="0.25">
      <c r="A38" s="13">
        <v>39</v>
      </c>
      <c r="B38" s="11"/>
      <c r="C38" s="13"/>
      <c r="D38" s="11"/>
      <c r="E38" s="11"/>
      <c r="F38" s="13"/>
      <c r="G38" s="11"/>
      <c r="H38" s="13"/>
      <c r="I38" s="11"/>
      <c r="J38" s="13"/>
      <c r="K38" s="11"/>
      <c r="L38" s="11"/>
      <c r="M38" s="11"/>
    </row>
    <row r="39" spans="1:13" x14ac:dyDescent="0.25">
      <c r="A39" s="13">
        <v>40</v>
      </c>
      <c r="B39" s="11"/>
      <c r="C39" s="13"/>
      <c r="D39" s="11"/>
      <c r="E39" s="11"/>
      <c r="F39" s="13"/>
      <c r="G39" s="11"/>
      <c r="H39" s="13"/>
      <c r="I39" s="11"/>
      <c r="J39" s="13"/>
      <c r="K39" s="11"/>
      <c r="L39" s="11"/>
      <c r="M39" s="11"/>
    </row>
    <row r="40" spans="1:13" x14ac:dyDescent="0.25">
      <c r="A40" s="13">
        <v>41</v>
      </c>
      <c r="B40" s="11"/>
      <c r="C40" s="13"/>
      <c r="D40" s="11"/>
      <c r="E40" s="11"/>
      <c r="F40" s="13"/>
      <c r="G40" s="11"/>
      <c r="H40" s="13"/>
      <c r="I40" s="11"/>
      <c r="J40" s="13"/>
      <c r="K40" s="11"/>
      <c r="L40" s="11"/>
      <c r="M40" s="11"/>
    </row>
    <row r="41" spans="1:13" x14ac:dyDescent="0.25">
      <c r="A41" s="13">
        <v>42</v>
      </c>
      <c r="B41" s="11"/>
      <c r="C41" s="13"/>
      <c r="D41" s="11"/>
      <c r="E41" s="11"/>
      <c r="F41" s="13"/>
      <c r="G41" s="11"/>
      <c r="H41" s="13"/>
      <c r="I41" s="11"/>
      <c r="J41" s="13"/>
      <c r="K41" s="11"/>
      <c r="L41" s="11"/>
      <c r="M41" s="11"/>
    </row>
    <row r="42" spans="1:13" x14ac:dyDescent="0.25">
      <c r="A42" s="13">
        <v>43</v>
      </c>
      <c r="B42" s="11"/>
      <c r="C42" s="13"/>
      <c r="D42" s="11"/>
      <c r="E42" s="11"/>
      <c r="F42" s="13"/>
      <c r="G42" s="11"/>
      <c r="H42" s="13"/>
      <c r="I42" s="11"/>
      <c r="J42" s="13"/>
      <c r="K42" s="11"/>
      <c r="L42" s="11"/>
      <c r="M42" s="11"/>
    </row>
    <row r="43" spans="1:13" x14ac:dyDescent="0.25">
      <c r="A43" s="13">
        <v>44</v>
      </c>
      <c r="B43" s="11"/>
      <c r="C43" s="13"/>
      <c r="D43" s="11"/>
      <c r="E43" s="11"/>
      <c r="F43" s="13"/>
      <c r="G43" s="11"/>
      <c r="H43" s="13"/>
      <c r="I43" s="11"/>
      <c r="J43" s="13"/>
      <c r="K43" s="11"/>
      <c r="L43" s="11"/>
      <c r="M43" s="11"/>
    </row>
    <row r="44" spans="1:13" x14ac:dyDescent="0.25">
      <c r="A44" s="13">
        <v>45</v>
      </c>
      <c r="B44" s="11"/>
      <c r="C44" s="13"/>
      <c r="D44" s="11"/>
      <c r="E44" s="11"/>
      <c r="F44" s="13"/>
      <c r="G44" s="11"/>
      <c r="H44" s="13"/>
      <c r="I44" s="11"/>
      <c r="J44" s="13"/>
      <c r="K44" s="11"/>
      <c r="L44" s="11"/>
      <c r="M44" s="11"/>
    </row>
    <row r="45" spans="1:13" x14ac:dyDescent="0.25">
      <c r="A45" s="13">
        <v>46</v>
      </c>
      <c r="B45" s="11"/>
      <c r="C45" s="13"/>
      <c r="D45" s="11"/>
      <c r="E45" s="11"/>
      <c r="F45" s="13"/>
      <c r="G45" s="11"/>
      <c r="H45" s="13"/>
      <c r="I45" s="11"/>
      <c r="J45" s="13"/>
      <c r="K45" s="11"/>
      <c r="L45" s="11"/>
      <c r="M45" s="11"/>
    </row>
    <row r="46" spans="1:13" x14ac:dyDescent="0.25">
      <c r="A46" s="13">
        <v>47</v>
      </c>
      <c r="B46" s="11"/>
      <c r="C46" s="13"/>
      <c r="D46" s="11"/>
      <c r="E46" s="11"/>
      <c r="F46" s="13"/>
      <c r="G46" s="11"/>
      <c r="H46" s="13"/>
      <c r="I46" s="11"/>
      <c r="J46" s="13"/>
      <c r="K46" s="11"/>
      <c r="L46" s="11"/>
      <c r="M46" s="11"/>
    </row>
    <row r="47" spans="1:13" x14ac:dyDescent="0.25">
      <c r="A47" s="13">
        <v>48</v>
      </c>
      <c r="B47" s="11"/>
      <c r="C47" s="13"/>
      <c r="D47" s="11"/>
      <c r="E47" s="11"/>
      <c r="F47" s="13"/>
      <c r="G47" s="11"/>
      <c r="H47" s="13"/>
      <c r="I47" s="11"/>
      <c r="J47" s="13"/>
      <c r="K47" s="11"/>
      <c r="L47" s="11"/>
      <c r="M47" s="11"/>
    </row>
    <row r="48" spans="1:13" x14ac:dyDescent="0.25">
      <c r="A48" s="13">
        <v>49</v>
      </c>
      <c r="B48" s="11"/>
      <c r="C48" s="13"/>
      <c r="D48" s="11"/>
      <c r="E48" s="11"/>
      <c r="F48" s="13"/>
      <c r="G48" s="11"/>
      <c r="H48" s="13"/>
      <c r="I48" s="11"/>
      <c r="J48" s="13"/>
      <c r="K48" s="11"/>
      <c r="L48" s="11"/>
      <c r="M48" s="11"/>
    </row>
    <row r="49" spans="1:13" x14ac:dyDescent="0.25">
      <c r="A49" s="13">
        <v>50</v>
      </c>
      <c r="B49" s="11"/>
      <c r="C49" s="13"/>
      <c r="D49" s="11"/>
      <c r="E49" s="11"/>
      <c r="F49" s="13"/>
      <c r="G49" s="11"/>
      <c r="H49" s="13"/>
      <c r="I49" s="11"/>
      <c r="J49" s="13"/>
      <c r="K49" s="11"/>
      <c r="L49" s="11"/>
      <c r="M49" s="11"/>
    </row>
    <row r="50" spans="1:13" x14ac:dyDescent="0.25">
      <c r="A50" s="13">
        <v>51</v>
      </c>
      <c r="B50" s="11"/>
      <c r="C50" s="13"/>
      <c r="D50" s="11"/>
      <c r="E50" s="11"/>
      <c r="F50" s="13"/>
      <c r="G50" s="11"/>
      <c r="H50" s="13"/>
      <c r="I50" s="11"/>
      <c r="J50" s="13"/>
      <c r="K50" s="11"/>
      <c r="L50" s="11"/>
      <c r="M50" s="11"/>
    </row>
    <row r="51" spans="1:13" x14ac:dyDescent="0.25">
      <c r="A51" s="13">
        <v>52</v>
      </c>
      <c r="B51" s="11"/>
      <c r="C51" s="13"/>
      <c r="D51" s="11"/>
      <c r="E51" s="11"/>
      <c r="F51" s="13"/>
      <c r="G51" s="11"/>
      <c r="H51" s="13"/>
      <c r="I51" s="11"/>
      <c r="J51" s="13"/>
      <c r="K51" s="11"/>
      <c r="L51" s="11"/>
      <c r="M51" s="11"/>
    </row>
    <row r="52" spans="1:13" x14ac:dyDescent="0.25">
      <c r="A52" s="13">
        <v>53</v>
      </c>
      <c r="B52" s="11"/>
      <c r="C52" s="13"/>
      <c r="D52" s="11"/>
      <c r="E52" s="11"/>
      <c r="F52" s="13"/>
      <c r="G52" s="11"/>
      <c r="H52" s="13"/>
      <c r="I52" s="11"/>
      <c r="J52" s="13"/>
      <c r="K52" s="11"/>
      <c r="L52" s="11"/>
      <c r="M52" s="11"/>
    </row>
    <row r="53" spans="1:13" x14ac:dyDescent="0.25">
      <c r="A53" s="13">
        <v>54</v>
      </c>
      <c r="B53" s="11"/>
      <c r="C53" s="13"/>
      <c r="D53" s="11"/>
      <c r="E53" s="11"/>
      <c r="F53" s="13"/>
      <c r="G53" s="11"/>
      <c r="H53" s="13"/>
      <c r="I53" s="11"/>
      <c r="J53" s="13"/>
      <c r="K53" s="11"/>
      <c r="L53" s="11"/>
      <c r="M53" s="11"/>
    </row>
    <row r="54" spans="1:13" x14ac:dyDescent="0.25">
      <c r="A54" s="13">
        <v>55</v>
      </c>
      <c r="B54" s="11"/>
      <c r="C54" s="13"/>
      <c r="D54" s="11"/>
      <c r="E54" s="11"/>
      <c r="F54" s="13"/>
      <c r="G54" s="11"/>
      <c r="H54" s="13"/>
      <c r="I54" s="11"/>
      <c r="J54" s="13"/>
      <c r="K54" s="11"/>
      <c r="L54" s="11"/>
      <c r="M54" s="11"/>
    </row>
    <row r="55" spans="1:13" x14ac:dyDescent="0.25">
      <c r="C55" s="17"/>
    </row>
  </sheetData>
  <sortState xmlns:xlrd2="http://schemas.microsoft.com/office/spreadsheetml/2017/richdata2" ref="B5:M8">
    <sortCondition ref="B5:B8"/>
  </sortState>
  <mergeCells count="6">
    <mergeCell ref="K3:K4"/>
    <mergeCell ref="B3:C3"/>
    <mergeCell ref="A3:A4"/>
    <mergeCell ref="D3:D4"/>
    <mergeCell ref="L3:M3"/>
    <mergeCell ref="E3:J3"/>
  </mergeCells>
  <conditionalFormatting sqref="B5:C54 E5:J54">
    <cfRule type="expression" dxfId="7" priority="9">
      <formula>C5="OK"</formula>
    </cfRule>
  </conditionalFormatting>
  <conditionalFormatting sqref="B55:C1048576 B1:C2 B3 B4:C4 B5:B54">
    <cfRule type="duplicateValues" dxfId="6" priority="20"/>
  </conditionalFormatting>
  <conditionalFormatting sqref="C5:C54 F5:F54 H5:H54 J5:J54">
    <cfRule type="cellIs" dxfId="5" priority="8" operator="equal">
      <formula>"OK"</formula>
    </cfRule>
  </conditionalFormatting>
  <conditionalFormatting sqref="F4">
    <cfRule type="duplicateValues" dxfId="4" priority="13"/>
  </conditionalFormatting>
  <conditionalFormatting sqref="H4">
    <cfRule type="duplicateValues" dxfId="3" priority="12"/>
  </conditionalFormatting>
  <conditionalFormatting sqref="J4">
    <cfRule type="duplicateValues" dxfId="2" priority="1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574D5-5AB4-4679-BC52-F4E967F00054}">
  <sheetPr codeName="Sheet2">
    <tabColor theme="9"/>
  </sheetPr>
  <dimension ref="A1:J23"/>
  <sheetViews>
    <sheetView workbookViewId="0">
      <selection activeCell="E13" sqref="E13"/>
    </sheetView>
  </sheetViews>
  <sheetFormatPr defaultRowHeight="15" x14ac:dyDescent="0.25"/>
  <cols>
    <col min="1" max="1" width="4.7109375" style="9" customWidth="1"/>
    <col min="2" max="2" width="28.85546875" style="9" bestFit="1" customWidth="1"/>
    <col min="3" max="3" width="33.5703125" style="9" bestFit="1" customWidth="1"/>
    <col min="4" max="4" width="23.42578125" style="9" bestFit="1" customWidth="1"/>
    <col min="5" max="5" width="32.7109375" style="9" bestFit="1" customWidth="1"/>
    <col min="6" max="7" width="6.28515625" style="9" customWidth="1"/>
    <col min="8" max="8" width="7.140625" style="9" bestFit="1" customWidth="1"/>
    <col min="9" max="9" width="17" style="9" bestFit="1" customWidth="1"/>
    <col min="10" max="10" width="34.7109375" style="9" bestFit="1" customWidth="1"/>
    <col min="11" max="16384" width="9.140625" style="9"/>
  </cols>
  <sheetData>
    <row r="1" spans="1:10" x14ac:dyDescent="0.25">
      <c r="A1" s="9" t="s">
        <v>278</v>
      </c>
    </row>
    <row r="3" spans="1:10" x14ac:dyDescent="0.25">
      <c r="A3" s="62" t="s">
        <v>8</v>
      </c>
      <c r="B3" s="62" t="s">
        <v>11</v>
      </c>
      <c r="C3" s="62" t="s">
        <v>14</v>
      </c>
      <c r="D3" s="64" t="s">
        <v>10</v>
      </c>
      <c r="E3" s="64"/>
      <c r="F3" s="65" t="s">
        <v>23</v>
      </c>
      <c r="G3" s="66"/>
      <c r="H3" s="66"/>
      <c r="I3" s="67"/>
      <c r="J3" s="62" t="s">
        <v>13</v>
      </c>
    </row>
    <row r="4" spans="1:10" x14ac:dyDescent="0.25">
      <c r="A4" s="63"/>
      <c r="B4" s="63"/>
      <c r="C4" s="63"/>
      <c r="D4" s="12" t="s">
        <v>22</v>
      </c>
      <c r="E4" s="12" t="s">
        <v>12</v>
      </c>
      <c r="F4" s="10" t="s">
        <v>15</v>
      </c>
      <c r="G4" s="10" t="s">
        <v>16</v>
      </c>
      <c r="H4" s="10" t="s">
        <v>17</v>
      </c>
      <c r="I4" s="22" t="s">
        <v>18</v>
      </c>
      <c r="J4" s="63"/>
    </row>
    <row r="5" spans="1:10" x14ac:dyDescent="0.25">
      <c r="A5" s="15" t="s">
        <v>20</v>
      </c>
      <c r="B5" s="16" t="s">
        <v>21</v>
      </c>
      <c r="C5" s="11"/>
      <c r="D5" s="11"/>
      <c r="E5" s="11"/>
      <c r="F5" s="14"/>
      <c r="G5" s="14"/>
      <c r="H5" s="14"/>
      <c r="I5" s="13"/>
      <c r="J5" s="11"/>
    </row>
    <row r="6" spans="1:10" ht="30" x14ac:dyDescent="0.25">
      <c r="A6" s="13">
        <f>N(A5)+1</f>
        <v>1</v>
      </c>
      <c r="B6" s="11" t="s">
        <v>102</v>
      </c>
      <c r="C6" s="11" t="str">
        <f>"/sibm01/"&amp;LOWER(master)&amp;"/"&amp;LOWER(LEFT(B6,FIND(".",B6)-1))</f>
        <v>/sibm01/master/nasabah</v>
      </c>
      <c r="D6" s="11" t="str">
        <f>PROPER(LEFT(B6,FIND(".",B6)-1))&amp;".php"</f>
        <v>Nasabah.php</v>
      </c>
      <c r="E6" s="11" t="str">
        <f t="shared" ref="E6" si="0">PROPER(LEFT(B6,FIND(".",B6)-1))&amp;"Controller.php"</f>
        <v>NasabahController.php</v>
      </c>
      <c r="F6" s="14" t="s">
        <v>19</v>
      </c>
      <c r="G6" s="14" t="s">
        <v>19</v>
      </c>
      <c r="H6" s="14" t="s">
        <v>19</v>
      </c>
      <c r="I6" s="24" t="s">
        <v>44</v>
      </c>
      <c r="J6" s="11" t="s">
        <v>326</v>
      </c>
    </row>
    <row r="7" spans="1:10" s="33" customFormat="1" x14ac:dyDescent="0.25">
      <c r="A7" s="30">
        <f t="shared" ref="A7:A8" si="1">N(A6)+1</f>
        <v>2</v>
      </c>
      <c r="B7" s="31" t="s">
        <v>274</v>
      </c>
      <c r="C7" s="31" t="str">
        <f>"/sibm01/"&amp;LOWER(master)&amp;"/"&amp;LOWER(LEFT(B7,FIND(".",B7)-1))</f>
        <v>/sibm01/master/coa</v>
      </c>
      <c r="D7" s="31" t="str">
        <f>PROPER(LEFT(B7,FIND(".",B7)-1))&amp;".php"</f>
        <v>Coa.php</v>
      </c>
      <c r="E7" s="31" t="str">
        <f t="shared" ref="E7" si="2">PROPER(LEFT(B7,FIND(".",B7)-1))&amp;"Controller.php"</f>
        <v>CoaController.php</v>
      </c>
      <c r="F7" s="51" t="s">
        <v>19</v>
      </c>
      <c r="G7" s="51" t="s">
        <v>19</v>
      </c>
      <c r="H7" s="51" t="s">
        <v>19</v>
      </c>
      <c r="I7" s="52"/>
      <c r="J7" s="31" t="s">
        <v>275</v>
      </c>
    </row>
    <row r="8" spans="1:10" s="33" customFormat="1" x14ac:dyDescent="0.25">
      <c r="A8" s="30">
        <f t="shared" si="1"/>
        <v>3</v>
      </c>
      <c r="B8" s="31" t="s">
        <v>276</v>
      </c>
      <c r="C8" s="31" t="str">
        <f>"/sibm01/"&amp;LOWER(master)&amp;"/"&amp;LOWER(LEFT(B8,FIND(".",B8)-1))</f>
        <v>/sibm01/master/produk</v>
      </c>
      <c r="D8" s="31" t="str">
        <f>PROPER(LEFT(B8,FIND(".",B8)-1))&amp;".php"</f>
        <v>Produk.php</v>
      </c>
      <c r="E8" s="31" t="str">
        <f t="shared" ref="E8" si="3">PROPER(LEFT(B8,FIND(".",B8)-1))&amp;"Controller.php"</f>
        <v>ProdukController.php</v>
      </c>
      <c r="F8" s="51" t="s">
        <v>19</v>
      </c>
      <c r="G8" s="51" t="s">
        <v>19</v>
      </c>
      <c r="H8" s="51" t="s">
        <v>19</v>
      </c>
      <c r="I8" s="52"/>
      <c r="J8" s="31" t="s">
        <v>277</v>
      </c>
    </row>
    <row r="9" spans="1:10" s="38" customFormat="1" x14ac:dyDescent="0.25">
      <c r="A9" s="34"/>
      <c r="B9" s="35"/>
      <c r="C9" s="35"/>
      <c r="D9" s="35"/>
      <c r="E9" s="35"/>
      <c r="F9" s="36"/>
      <c r="G9" s="36"/>
      <c r="H9" s="36"/>
      <c r="I9" s="37"/>
      <c r="J9" s="35"/>
    </row>
    <row r="10" spans="1:10" s="33" customFormat="1" x14ac:dyDescent="0.25">
      <c r="A10" s="53" t="s">
        <v>68</v>
      </c>
      <c r="B10" s="54" t="s">
        <v>69</v>
      </c>
      <c r="C10" s="31"/>
      <c r="D10" s="31"/>
      <c r="E10" s="31"/>
      <c r="F10" s="51"/>
      <c r="G10" s="51"/>
      <c r="H10" s="51"/>
      <c r="I10" s="30"/>
      <c r="J10" s="31"/>
    </row>
    <row r="11" spans="1:10" s="33" customFormat="1" x14ac:dyDescent="0.25">
      <c r="A11" s="30">
        <f t="shared" ref="A11:A14" si="4">N(A10)+1</f>
        <v>1</v>
      </c>
      <c r="B11" s="31" t="s">
        <v>319</v>
      </c>
      <c r="C11" s="31" t="str">
        <f>"/sibm01/"&amp;LOWER(transaksi)&amp;"/"&amp;LOWER(LEFT(B11,FIND(".",B11)-1))</f>
        <v>/sibm01/transaksi/tsetor</v>
      </c>
      <c r="D11" s="31" t="str">
        <f>PROPER(LEFT(B11,FIND(".",B11)-1))&amp;".php"</f>
        <v>Tsetor.php</v>
      </c>
      <c r="E11" s="31" t="str">
        <f t="shared" ref="E11" si="5">PROPER(LEFT(B11,FIND(".",B11)-1))&amp;"Controller.php"</f>
        <v>TsetorController.php</v>
      </c>
      <c r="F11" s="51" t="s">
        <v>19</v>
      </c>
      <c r="G11" s="51" t="s">
        <v>19</v>
      </c>
      <c r="H11" s="51" t="s">
        <v>19</v>
      </c>
      <c r="I11" s="52" t="s">
        <v>70</v>
      </c>
      <c r="J11" s="31" t="s">
        <v>279</v>
      </c>
    </row>
    <row r="12" spans="1:10" s="38" customFormat="1" x14ac:dyDescent="0.25">
      <c r="A12" s="30">
        <f t="shared" si="4"/>
        <v>2</v>
      </c>
      <c r="B12" s="31" t="s">
        <v>320</v>
      </c>
      <c r="C12" s="31" t="str">
        <f>"/sibm01/"&amp;LOWER(transaksi)&amp;"/"&amp;LOWER(LEFT(B12,FIND(".",B12)-1))</f>
        <v>/sibm01/transaksi/ttarik</v>
      </c>
      <c r="D12" s="31" t="str">
        <f>PROPER(LEFT(B12,FIND(".",B12)-1))&amp;".php"</f>
        <v>Ttarik.php</v>
      </c>
      <c r="E12" s="31" t="str">
        <f t="shared" ref="E12" si="6">PROPER(LEFT(B12,FIND(".",B12)-1))&amp;"Controller.php"</f>
        <v>TtarikController.php</v>
      </c>
      <c r="F12" s="51" t="s">
        <v>19</v>
      </c>
      <c r="G12" s="51" t="s">
        <v>19</v>
      </c>
      <c r="H12" s="51" t="s">
        <v>19</v>
      </c>
      <c r="I12" s="52" t="s">
        <v>70</v>
      </c>
      <c r="J12" s="31" t="s">
        <v>323</v>
      </c>
    </row>
    <row r="13" spans="1:10" s="38" customFormat="1" x14ac:dyDescent="0.25">
      <c r="A13" s="30">
        <f t="shared" si="4"/>
        <v>3</v>
      </c>
      <c r="B13" s="31" t="s">
        <v>321</v>
      </c>
      <c r="C13" s="31" t="str">
        <f>"/sibm01/"&amp;LOWER(transaksi)&amp;"/"&amp;LOWER(LEFT(B13,FIND(".",B13)-1))</f>
        <v>/sibm01/transaksi/tfmasuk</v>
      </c>
      <c r="D13" s="31" t="str">
        <f t="shared" ref="D13:D14" si="7">PROPER(LEFT(B13,FIND(".",B13)-1))&amp;".php"</f>
        <v>Tfmasuk.php</v>
      </c>
      <c r="E13" s="31" t="str">
        <f t="shared" ref="E13:E14" si="8">PROPER(LEFT(B13,FIND(".",B13)-1))&amp;"Controller.php"</f>
        <v>TfmasukController.php</v>
      </c>
      <c r="F13" s="51" t="s">
        <v>19</v>
      </c>
      <c r="G13" s="51" t="s">
        <v>19</v>
      </c>
      <c r="H13" s="51" t="s">
        <v>19</v>
      </c>
      <c r="I13" s="52" t="s">
        <v>70</v>
      </c>
      <c r="J13" s="31" t="s">
        <v>324</v>
      </c>
    </row>
    <row r="14" spans="1:10" s="38" customFormat="1" x14ac:dyDescent="0.25">
      <c r="A14" s="30">
        <f t="shared" si="4"/>
        <v>4</v>
      </c>
      <c r="B14" s="31" t="s">
        <v>322</v>
      </c>
      <c r="C14" s="31" t="str">
        <f>"/sibm01/"&amp;LOWER(transaksi)&amp;"/"&amp;LOWER(LEFT(B14,FIND(".",B14)-1))</f>
        <v>/sibm01/transaksi/tfkeluar</v>
      </c>
      <c r="D14" s="31" t="str">
        <f t="shared" si="7"/>
        <v>Tfkeluar.php</v>
      </c>
      <c r="E14" s="31" t="str">
        <f t="shared" si="8"/>
        <v>TfkeluarController.php</v>
      </c>
      <c r="F14" s="51" t="s">
        <v>19</v>
      </c>
      <c r="G14" s="51" t="s">
        <v>19</v>
      </c>
      <c r="H14" s="51" t="s">
        <v>19</v>
      </c>
      <c r="I14" s="52" t="s">
        <v>70</v>
      </c>
      <c r="J14" s="31" t="s">
        <v>325</v>
      </c>
    </row>
    <row r="15" spans="1:10" s="38" customFormat="1" x14ac:dyDescent="0.25">
      <c r="A15" s="34"/>
      <c r="B15" s="35"/>
      <c r="C15" s="35"/>
      <c r="D15" s="35"/>
      <c r="E15" s="35"/>
      <c r="F15" s="36"/>
      <c r="G15" s="36"/>
      <c r="H15" s="36"/>
      <c r="I15" s="34"/>
      <c r="J15" s="35"/>
    </row>
    <row r="16" spans="1:10" s="33" customFormat="1" x14ac:dyDescent="0.25">
      <c r="A16" s="53" t="s">
        <v>83</v>
      </c>
      <c r="B16" s="54" t="s">
        <v>82</v>
      </c>
      <c r="C16" s="31"/>
      <c r="D16" s="31"/>
      <c r="E16" s="31"/>
      <c r="F16" s="51"/>
      <c r="G16" s="51"/>
      <c r="H16" s="51"/>
      <c r="I16" s="30"/>
      <c r="J16" s="31"/>
    </row>
    <row r="17" spans="1:10" s="33" customFormat="1" x14ac:dyDescent="0.25">
      <c r="A17" s="30">
        <f t="shared" ref="A17" si="9">N(A16)+1</f>
        <v>1</v>
      </c>
      <c r="B17" s="31" t="s">
        <v>327</v>
      </c>
      <c r="C17" s="31" t="str">
        <f>"/sibm01/"&amp;LOWER(laporan)&amp;"/"&amp;LOWER(LEFT(B17,FIND(".",B17)-1))</f>
        <v>/sibm01/laporan/rekeningkoran</v>
      </c>
      <c r="D17" s="31" t="s">
        <v>328</v>
      </c>
      <c r="E17" s="31" t="str">
        <f t="shared" ref="E17:E18" si="10">PROPER(LEFT(B17,FIND(".",B17)-1))&amp;"Controller.php"</f>
        <v>RekeningkoranController.php</v>
      </c>
      <c r="F17" s="51"/>
      <c r="G17" s="51"/>
      <c r="H17" s="51"/>
      <c r="I17" s="52"/>
      <c r="J17" s="31" t="s">
        <v>329</v>
      </c>
    </row>
    <row r="18" spans="1:10" s="38" customFormat="1" x14ac:dyDescent="0.25">
      <c r="A18" s="34">
        <v>2</v>
      </c>
      <c r="B18" s="35" t="s">
        <v>84</v>
      </c>
      <c r="C18" s="35" t="str">
        <f>"/sibm01/"&amp;LOWER(laporan)&amp;"/"&amp;LOWER(LEFT(B18,FIND(".",B18)-1))</f>
        <v>/sibm01/laporan/jatuhtempopersonal</v>
      </c>
      <c r="D18" s="35" t="s">
        <v>86</v>
      </c>
      <c r="E18" s="35" t="str">
        <f t="shared" si="10"/>
        <v>JatuhtempopersonalController.php</v>
      </c>
      <c r="F18" s="36" t="s">
        <v>19</v>
      </c>
      <c r="G18" s="36" t="s">
        <v>19</v>
      </c>
      <c r="H18" s="36" t="s">
        <v>19</v>
      </c>
      <c r="I18" s="37"/>
      <c r="J18" s="35" t="s">
        <v>90</v>
      </c>
    </row>
    <row r="19" spans="1:10" s="38" customFormat="1" x14ac:dyDescent="0.25">
      <c r="A19" s="34">
        <v>3</v>
      </c>
      <c r="B19" s="35" t="s">
        <v>85</v>
      </c>
      <c r="C19" s="35" t="str">
        <f>"/sibm01/"&amp;LOWER(laporan)&amp;"/"&amp;LOWER(LEFT(B19,FIND(".",B19)-1))</f>
        <v>/sibm01/laporan/jatuhtempoall</v>
      </c>
      <c r="D19" s="35" t="s">
        <v>86</v>
      </c>
      <c r="E19" s="35" t="str">
        <f t="shared" ref="E19:E20" si="11">PROPER(LEFT(B19,FIND(".",B19)-1))&amp;"Controller.php"</f>
        <v>JatuhtempoallController.php</v>
      </c>
      <c r="F19" s="36" t="s">
        <v>19</v>
      </c>
      <c r="G19" s="36" t="s">
        <v>19</v>
      </c>
      <c r="H19" s="36" t="s">
        <v>19</v>
      </c>
      <c r="I19" s="37"/>
      <c r="J19" s="35" t="s">
        <v>89</v>
      </c>
    </row>
    <row r="20" spans="1:10" s="38" customFormat="1" x14ac:dyDescent="0.25">
      <c r="A20" s="34">
        <v>4</v>
      </c>
      <c r="B20" s="35" t="s">
        <v>87</v>
      </c>
      <c r="C20" s="35" t="str">
        <f>"/sibm01/"&amp;LOWER(laporan)&amp;"/"&amp;LOWER(LEFT(B20,FIND(".",B20)-1))</f>
        <v>/sibm01/laporan/belumkembalipersonal</v>
      </c>
      <c r="D20" s="35" t="s">
        <v>86</v>
      </c>
      <c r="E20" s="35" t="str">
        <f t="shared" si="11"/>
        <v>BelumkembalipersonalController.php</v>
      </c>
      <c r="F20" s="36" t="s">
        <v>19</v>
      </c>
      <c r="G20" s="36" t="s">
        <v>19</v>
      </c>
      <c r="H20" s="36" t="s">
        <v>19</v>
      </c>
      <c r="I20" s="37"/>
      <c r="J20" s="35" t="s">
        <v>91</v>
      </c>
    </row>
    <row r="21" spans="1:10" s="38" customFormat="1" x14ac:dyDescent="0.25">
      <c r="A21" s="34">
        <v>5</v>
      </c>
      <c r="B21" s="35" t="s">
        <v>88</v>
      </c>
      <c r="C21" s="35" t="str">
        <f>"/sibm01/"&amp;LOWER(laporan)&amp;"/"&amp;LOWER(LEFT(B21,FIND(".",B21)-1))</f>
        <v>/sibm01/laporan/belumkembaliall</v>
      </c>
      <c r="D21" s="35" t="s">
        <v>86</v>
      </c>
      <c r="E21" s="35" t="str">
        <f t="shared" ref="E21" si="12">PROPER(LEFT(B21,FIND(".",B21)-1))&amp;"Controller.php"</f>
        <v>BelumkembaliallController.php</v>
      </c>
      <c r="F21" s="36" t="s">
        <v>19</v>
      </c>
      <c r="G21" s="36" t="s">
        <v>19</v>
      </c>
      <c r="H21" s="36" t="s">
        <v>19</v>
      </c>
      <c r="I21" s="37"/>
      <c r="J21" s="35" t="s">
        <v>92</v>
      </c>
    </row>
    <row r="22" spans="1:10" x14ac:dyDescent="0.25">
      <c r="A22" s="13"/>
      <c r="B22" s="11"/>
      <c r="C22" s="11"/>
      <c r="D22" s="11"/>
      <c r="E22" s="11"/>
      <c r="F22" s="14"/>
      <c r="G22" s="14"/>
      <c r="H22" s="14"/>
      <c r="I22" s="13"/>
      <c r="J22" s="11"/>
    </row>
    <row r="23" spans="1:10" x14ac:dyDescent="0.25">
      <c r="A23" s="13"/>
      <c r="B23" s="11"/>
      <c r="C23" s="11"/>
      <c r="D23" s="11"/>
      <c r="E23" s="11"/>
      <c r="F23" s="14"/>
      <c r="G23" s="14"/>
      <c r="H23" s="14"/>
      <c r="I23" s="13"/>
      <c r="J23" s="11"/>
    </row>
  </sheetData>
  <mergeCells count="6">
    <mergeCell ref="J3:J4"/>
    <mergeCell ref="A3:A4"/>
    <mergeCell ref="B3:B4"/>
    <mergeCell ref="C3:C4"/>
    <mergeCell ref="D3:E3"/>
    <mergeCell ref="F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4116-9B73-43CB-BAE0-CF58FB144503}">
  <dimension ref="A1:L32"/>
  <sheetViews>
    <sheetView topLeftCell="C1" zoomScale="85" zoomScaleNormal="85" workbookViewId="0">
      <selection activeCell="Q6" sqref="Q6"/>
    </sheetView>
  </sheetViews>
  <sheetFormatPr defaultRowHeight="18" customHeight="1" x14ac:dyDescent="0.25"/>
  <cols>
    <col min="1" max="1" width="17.42578125" style="39" bestFit="1" customWidth="1"/>
    <col min="2" max="2" width="14.7109375" style="39" bestFit="1" customWidth="1"/>
    <col min="3" max="3" width="30.140625" style="39" bestFit="1" customWidth="1"/>
    <col min="4" max="4" width="44.140625" style="39" customWidth="1"/>
    <col min="5" max="5" width="5.42578125" style="39" bestFit="1" customWidth="1"/>
    <col min="6" max="6" width="18.140625" style="39" bestFit="1" customWidth="1"/>
    <col min="7" max="7" width="9.140625" style="39"/>
    <col min="8" max="8" width="4" style="39" customWidth="1"/>
    <col min="9" max="9" width="21.140625" style="39" bestFit="1" customWidth="1"/>
    <col min="10" max="10" width="4.140625" style="45" customWidth="1"/>
    <col min="11" max="11" width="9.140625" style="39"/>
    <col min="12" max="12" width="17.42578125" style="39" bestFit="1" customWidth="1"/>
    <col min="13" max="16384" width="9.140625" style="39"/>
  </cols>
  <sheetData>
    <row r="1" spans="1:12" ht="18" customHeight="1" x14ac:dyDescent="0.25">
      <c r="A1" s="39" t="s">
        <v>127</v>
      </c>
    </row>
    <row r="3" spans="1:12" ht="18" customHeight="1" x14ac:dyDescent="0.25">
      <c r="A3" s="48" t="s">
        <v>214</v>
      </c>
      <c r="B3" s="41" t="s">
        <v>103</v>
      </c>
      <c r="C3" s="41" t="s">
        <v>215</v>
      </c>
      <c r="D3" s="41" t="s">
        <v>48</v>
      </c>
      <c r="E3" s="39" t="s">
        <v>49</v>
      </c>
      <c r="F3" s="42" t="s">
        <v>163</v>
      </c>
      <c r="H3" s="48" t="s">
        <v>216</v>
      </c>
      <c r="J3" s="50" t="s">
        <v>257</v>
      </c>
    </row>
    <row r="4" spans="1:12" ht="18" customHeight="1" x14ac:dyDescent="0.25">
      <c r="B4" s="46"/>
      <c r="C4" s="46"/>
      <c r="D4" s="46"/>
      <c r="F4" s="40" t="s">
        <v>181</v>
      </c>
      <c r="H4" s="39">
        <v>1</v>
      </c>
      <c r="I4" s="48" t="s">
        <v>217</v>
      </c>
      <c r="J4" s="49" t="s">
        <v>128</v>
      </c>
      <c r="K4" s="48" t="s">
        <v>240</v>
      </c>
      <c r="L4" s="48" t="s">
        <v>236</v>
      </c>
    </row>
    <row r="5" spans="1:12" ht="18" customHeight="1" x14ac:dyDescent="0.25">
      <c r="A5" s="48" t="s">
        <v>209</v>
      </c>
      <c r="B5" s="39" t="s">
        <v>126</v>
      </c>
      <c r="C5" s="48" t="s">
        <v>211</v>
      </c>
      <c r="D5" s="43" t="s">
        <v>125</v>
      </c>
      <c r="E5" s="44" t="s">
        <v>128</v>
      </c>
      <c r="F5" s="40" t="s">
        <v>152</v>
      </c>
      <c r="H5" s="40">
        <v>2</v>
      </c>
      <c r="I5" s="48" t="s">
        <v>218</v>
      </c>
      <c r="J5" s="49" t="s">
        <v>129</v>
      </c>
      <c r="K5" s="48" t="s">
        <v>241</v>
      </c>
      <c r="L5" s="48" t="s">
        <v>237</v>
      </c>
    </row>
    <row r="6" spans="1:12" ht="18" customHeight="1" x14ac:dyDescent="0.25">
      <c r="D6" s="43" t="s">
        <v>124</v>
      </c>
      <c r="E6" s="44" t="s">
        <v>129</v>
      </c>
      <c r="F6" s="40" t="s">
        <v>153</v>
      </c>
      <c r="H6" s="40">
        <v>3</v>
      </c>
      <c r="I6" s="48" t="s">
        <v>219</v>
      </c>
      <c r="J6" s="49" t="s">
        <v>130</v>
      </c>
      <c r="K6" s="48" t="s">
        <v>242</v>
      </c>
      <c r="L6" s="48" t="s">
        <v>238</v>
      </c>
    </row>
    <row r="7" spans="1:12" ht="18" customHeight="1" x14ac:dyDescent="0.25">
      <c r="D7" s="43" t="s">
        <v>123</v>
      </c>
      <c r="E7" s="44" t="s">
        <v>130</v>
      </c>
      <c r="F7" s="40" t="s">
        <v>154</v>
      </c>
      <c r="H7" s="40">
        <v>4</v>
      </c>
      <c r="I7" s="48" t="s">
        <v>220</v>
      </c>
      <c r="J7" s="49" t="s">
        <v>131</v>
      </c>
      <c r="K7" s="48" t="s">
        <v>243</v>
      </c>
      <c r="L7" s="48" t="s">
        <v>239</v>
      </c>
    </row>
    <row r="8" spans="1:12" ht="18" customHeight="1" x14ac:dyDescent="0.25">
      <c r="D8" s="43" t="s">
        <v>122</v>
      </c>
      <c r="E8" s="44" t="s">
        <v>131</v>
      </c>
      <c r="F8" s="40" t="s">
        <v>155</v>
      </c>
      <c r="H8" s="40">
        <v>5</v>
      </c>
      <c r="I8" s="48" t="s">
        <v>221</v>
      </c>
      <c r="J8" s="49" t="s">
        <v>132</v>
      </c>
      <c r="K8" s="48" t="s">
        <v>244</v>
      </c>
      <c r="L8" s="48" t="s">
        <v>245</v>
      </c>
    </row>
    <row r="9" spans="1:12" ht="18" customHeight="1" x14ac:dyDescent="0.25">
      <c r="D9" s="43" t="s">
        <v>121</v>
      </c>
      <c r="E9" s="44" t="s">
        <v>132</v>
      </c>
      <c r="F9" s="40" t="s">
        <v>156</v>
      </c>
      <c r="H9" s="40">
        <v>6</v>
      </c>
      <c r="I9" s="48" t="s">
        <v>222</v>
      </c>
      <c r="J9" s="49" t="s">
        <v>133</v>
      </c>
      <c r="K9" s="48" t="s">
        <v>246</v>
      </c>
      <c r="L9" s="48" t="s">
        <v>247</v>
      </c>
    </row>
    <row r="10" spans="1:12" ht="18" customHeight="1" x14ac:dyDescent="0.25">
      <c r="D10" s="43" t="s">
        <v>120</v>
      </c>
      <c r="E10" s="44" t="s">
        <v>133</v>
      </c>
      <c r="F10" s="40" t="s">
        <v>157</v>
      </c>
      <c r="H10" s="40">
        <v>7</v>
      </c>
      <c r="I10" s="48" t="s">
        <v>223</v>
      </c>
      <c r="J10" s="49" t="s">
        <v>134</v>
      </c>
      <c r="K10" s="48" t="s">
        <v>248</v>
      </c>
      <c r="L10" s="48" t="s">
        <v>249</v>
      </c>
    </row>
    <row r="11" spans="1:12" ht="18" customHeight="1" x14ac:dyDescent="0.25">
      <c r="D11" s="43" t="s">
        <v>119</v>
      </c>
      <c r="E11" s="44" t="s">
        <v>134</v>
      </c>
      <c r="F11" s="40" t="s">
        <v>158</v>
      </c>
      <c r="J11" s="49" t="s">
        <v>135</v>
      </c>
      <c r="K11" s="48" t="s">
        <v>250</v>
      </c>
      <c r="L11" s="48" t="s">
        <v>251</v>
      </c>
    </row>
    <row r="12" spans="1:12" ht="18" customHeight="1" x14ac:dyDescent="0.25">
      <c r="E12" s="45"/>
      <c r="J12" s="49" t="s">
        <v>136</v>
      </c>
      <c r="K12" s="48" t="s">
        <v>252</v>
      </c>
      <c r="L12" s="48" t="s">
        <v>253</v>
      </c>
    </row>
    <row r="13" spans="1:12" ht="18" customHeight="1" x14ac:dyDescent="0.25">
      <c r="E13" s="45"/>
      <c r="F13" s="40" t="s">
        <v>182</v>
      </c>
      <c r="K13" s="48"/>
      <c r="L13" s="48"/>
    </row>
    <row r="14" spans="1:12" ht="18" customHeight="1" x14ac:dyDescent="0.25">
      <c r="B14" s="42" t="s">
        <v>118</v>
      </c>
      <c r="C14" s="48" t="s">
        <v>212</v>
      </c>
      <c r="D14" s="43" t="s">
        <v>117</v>
      </c>
      <c r="E14" s="44" t="s">
        <v>135</v>
      </c>
      <c r="F14" s="40" t="s">
        <v>159</v>
      </c>
    </row>
    <row r="15" spans="1:12" ht="18" customHeight="1" x14ac:dyDescent="0.25">
      <c r="D15" s="43" t="s">
        <v>116</v>
      </c>
      <c r="E15" s="44" t="s">
        <v>136</v>
      </c>
      <c r="F15" s="40" t="s">
        <v>160</v>
      </c>
    </row>
    <row r="16" spans="1:12" ht="18" customHeight="1" x14ac:dyDescent="0.25">
      <c r="D16" s="43" t="s">
        <v>115</v>
      </c>
      <c r="E16" s="44" t="s">
        <v>137</v>
      </c>
      <c r="F16" s="40" t="s">
        <v>161</v>
      </c>
    </row>
    <row r="17" spans="1:6" ht="18" customHeight="1" x14ac:dyDescent="0.25">
      <c r="D17" s="43" t="s">
        <v>114</v>
      </c>
      <c r="E17" s="44" t="s">
        <v>138</v>
      </c>
      <c r="F17" s="40" t="s">
        <v>162</v>
      </c>
    </row>
    <row r="18" spans="1:6" ht="18" customHeight="1" x14ac:dyDescent="0.25">
      <c r="E18" s="44"/>
      <c r="F18" s="40"/>
    </row>
    <row r="19" spans="1:6" ht="18" customHeight="1" x14ac:dyDescent="0.25">
      <c r="E19" s="44"/>
      <c r="F19" s="40" t="s">
        <v>183</v>
      </c>
    </row>
    <row r="20" spans="1:6" ht="18" customHeight="1" x14ac:dyDescent="0.25">
      <c r="B20" s="42" t="s">
        <v>113</v>
      </c>
      <c r="C20" s="48" t="s">
        <v>212</v>
      </c>
      <c r="D20" s="43" t="s">
        <v>112</v>
      </c>
      <c r="E20" s="44" t="s">
        <v>139</v>
      </c>
      <c r="F20" s="40" t="s">
        <v>176</v>
      </c>
    </row>
    <row r="21" spans="1:6" ht="18" customHeight="1" x14ac:dyDescent="0.25">
      <c r="E21" s="45"/>
    </row>
    <row r="22" spans="1:6" ht="18" customHeight="1" x14ac:dyDescent="0.25">
      <c r="E22" s="45"/>
      <c r="F22" s="40" t="s">
        <v>184</v>
      </c>
    </row>
    <row r="23" spans="1:6" ht="18" customHeight="1" x14ac:dyDescent="0.25">
      <c r="A23" s="48" t="s">
        <v>210</v>
      </c>
      <c r="B23" s="42" t="s">
        <v>111</v>
      </c>
      <c r="C23" s="48" t="s">
        <v>213</v>
      </c>
      <c r="D23" s="43" t="s">
        <v>110</v>
      </c>
      <c r="E23" s="45" t="s">
        <v>140</v>
      </c>
      <c r="F23" s="40" t="s">
        <v>177</v>
      </c>
    </row>
    <row r="24" spans="1:6" ht="18" customHeight="1" x14ac:dyDescent="0.25">
      <c r="D24" s="43" t="s">
        <v>109</v>
      </c>
      <c r="E24" s="45">
        <v>14</v>
      </c>
      <c r="F24" s="40" t="s">
        <v>178</v>
      </c>
    </row>
    <row r="25" spans="1:6" ht="18" customHeight="1" x14ac:dyDescent="0.25">
      <c r="E25" s="45"/>
    </row>
    <row r="26" spans="1:6" ht="18" customHeight="1" x14ac:dyDescent="0.25">
      <c r="E26" s="45"/>
      <c r="F26" s="40" t="s">
        <v>185</v>
      </c>
    </row>
    <row r="27" spans="1:6" ht="18" customHeight="1" x14ac:dyDescent="0.25">
      <c r="B27" s="47" t="s">
        <v>108</v>
      </c>
      <c r="C27" s="48" t="s">
        <v>213</v>
      </c>
      <c r="D27" s="43" t="s">
        <v>107</v>
      </c>
      <c r="E27" s="45">
        <v>15</v>
      </c>
      <c r="F27" s="40" t="s">
        <v>179</v>
      </c>
    </row>
    <row r="28" spans="1:6" ht="18" customHeight="1" x14ac:dyDescent="0.25">
      <c r="E28" s="45"/>
    </row>
    <row r="29" spans="1:6" ht="18" customHeight="1" x14ac:dyDescent="0.25">
      <c r="E29" s="45"/>
      <c r="F29" s="40" t="s">
        <v>186</v>
      </c>
    </row>
    <row r="30" spans="1:6" ht="18" customHeight="1" x14ac:dyDescent="0.25">
      <c r="B30" s="42" t="s">
        <v>106</v>
      </c>
      <c r="C30" s="48" t="s">
        <v>213</v>
      </c>
      <c r="D30" s="43" t="s">
        <v>105</v>
      </c>
      <c r="E30" s="45">
        <v>16</v>
      </c>
      <c r="F30" s="40" t="s">
        <v>180</v>
      </c>
    </row>
    <row r="31" spans="1:6" ht="18" customHeight="1" x14ac:dyDescent="0.25">
      <c r="D31" s="43" t="s">
        <v>104</v>
      </c>
      <c r="E31" s="45">
        <v>17</v>
      </c>
      <c r="F31" s="40" t="s">
        <v>180</v>
      </c>
    </row>
    <row r="32" spans="1:6" ht="18" customHeight="1" x14ac:dyDescent="0.25">
      <c r="D32" s="43"/>
    </row>
  </sheetData>
  <phoneticPr fontId="19" type="noConversion"/>
  <conditionalFormatting sqref="K1:K1048576">
    <cfRule type="duplicateValues" dxfId="1" priority="2"/>
  </conditionalFormatting>
  <conditionalFormatting sqref="L1:L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3E90-20BA-4A08-8FF6-37FC640A1630}">
  <sheetPr codeName="Sheet3"/>
  <dimension ref="A1:M69"/>
  <sheetViews>
    <sheetView topLeftCell="A19" zoomScaleNormal="100" workbookViewId="0">
      <selection activeCell="B30" sqref="B30"/>
    </sheetView>
  </sheetViews>
  <sheetFormatPr defaultRowHeight="15" x14ac:dyDescent="0.25"/>
  <cols>
    <col min="1" max="1" width="5.5703125" customWidth="1"/>
    <col min="2" max="2" width="2.7109375" customWidth="1"/>
    <col min="3" max="3" width="34.5703125" customWidth="1"/>
    <col min="4" max="4" width="21.42578125" customWidth="1"/>
    <col min="6" max="6" width="12.5703125" customWidth="1"/>
  </cols>
  <sheetData>
    <row r="1" spans="1:7" s="1" customFormat="1" x14ac:dyDescent="0.25">
      <c r="A1" s="1" t="s">
        <v>1</v>
      </c>
      <c r="B1" s="1" t="s">
        <v>94</v>
      </c>
    </row>
    <row r="2" spans="1:7" x14ac:dyDescent="0.25">
      <c r="B2" s="23" t="str">
        <f>"create table "&amp;B1&amp;" ("</f>
        <v>create table nasabah (</v>
      </c>
      <c r="C2" s="23"/>
    </row>
    <row r="3" spans="1:7" x14ac:dyDescent="0.25">
      <c r="B3" s="23"/>
      <c r="C3" s="23" t="s">
        <v>34</v>
      </c>
      <c r="G3" s="29"/>
    </row>
    <row r="4" spans="1:7" x14ac:dyDescent="0.25">
      <c r="C4" t="s">
        <v>171</v>
      </c>
      <c r="D4" t="s">
        <v>52</v>
      </c>
    </row>
    <row r="5" spans="1:7" x14ac:dyDescent="0.25">
      <c r="C5" t="s">
        <v>42</v>
      </c>
      <c r="D5" t="s">
        <v>33</v>
      </c>
      <c r="G5" s="29"/>
    </row>
    <row r="6" spans="1:7" x14ac:dyDescent="0.25">
      <c r="C6" t="s">
        <v>173</v>
      </c>
      <c r="D6" t="s">
        <v>37</v>
      </c>
      <c r="G6" s="29"/>
    </row>
    <row r="7" spans="1:7" x14ac:dyDescent="0.25">
      <c r="C7" t="s">
        <v>43</v>
      </c>
      <c r="D7" t="s">
        <v>37</v>
      </c>
      <c r="G7" s="29"/>
    </row>
    <row r="8" spans="1:7" x14ac:dyDescent="0.25">
      <c r="C8" t="s">
        <v>35</v>
      </c>
      <c r="D8" t="s">
        <v>37</v>
      </c>
      <c r="G8" s="29"/>
    </row>
    <row r="9" spans="1:7" x14ac:dyDescent="0.25">
      <c r="C9" t="s">
        <v>36</v>
      </c>
      <c r="D9" t="s">
        <v>37</v>
      </c>
      <c r="G9" s="29"/>
    </row>
    <row r="10" spans="1:7" x14ac:dyDescent="0.25">
      <c r="C10" t="s">
        <v>46</v>
      </c>
      <c r="D10" t="s">
        <v>47</v>
      </c>
      <c r="G10" s="29"/>
    </row>
    <row r="11" spans="1:7" x14ac:dyDescent="0.25">
      <c r="C11" t="s">
        <v>41</v>
      </c>
      <c r="D11" t="s">
        <v>30</v>
      </c>
      <c r="G11" s="29"/>
    </row>
    <row r="12" spans="1:7" x14ac:dyDescent="0.25">
      <c r="C12" t="s">
        <v>95</v>
      </c>
      <c r="D12" t="s">
        <v>30</v>
      </c>
      <c r="G12" s="29"/>
    </row>
    <row r="13" spans="1:7" x14ac:dyDescent="0.25">
      <c r="C13" t="s">
        <v>40</v>
      </c>
      <c r="D13" t="s">
        <v>30</v>
      </c>
      <c r="G13" s="29"/>
    </row>
    <row r="14" spans="1:7" x14ac:dyDescent="0.25">
      <c r="C14" t="s">
        <v>38</v>
      </c>
      <c r="D14" t="s">
        <v>31</v>
      </c>
      <c r="G14" s="29"/>
    </row>
    <row r="15" spans="1:7" x14ac:dyDescent="0.25">
      <c r="C15" t="s">
        <v>39</v>
      </c>
      <c r="D15" t="s">
        <v>31</v>
      </c>
      <c r="G15" s="29"/>
    </row>
    <row r="16" spans="1:7" x14ac:dyDescent="0.25">
      <c r="C16" t="s">
        <v>93</v>
      </c>
      <c r="D16" t="s">
        <v>96</v>
      </c>
      <c r="G16" s="29"/>
    </row>
    <row r="17" spans="1:7" x14ac:dyDescent="0.25">
      <c r="C17" t="s">
        <v>97</v>
      </c>
      <c r="D17" t="s">
        <v>98</v>
      </c>
      <c r="G17" s="29"/>
    </row>
    <row r="18" spans="1:7" x14ac:dyDescent="0.25">
      <c r="B18" t="s">
        <v>0</v>
      </c>
      <c r="G18" s="29"/>
    </row>
    <row r="20" spans="1:7" s="1" customFormat="1" x14ac:dyDescent="0.25">
      <c r="A20" s="1" t="s">
        <v>2</v>
      </c>
    </row>
    <row r="21" spans="1:7" x14ac:dyDescent="0.25">
      <c r="B21" t="str">
        <f>"alter table "&amp;B1&amp;" add constraint pk_"&amp;B1&amp;" primary key (id);"</f>
        <v>alter table nasabah add constraint pk_nasabah primary key (id);</v>
      </c>
    </row>
    <row r="23" spans="1:7" s="1" customFormat="1" x14ac:dyDescent="0.25">
      <c r="A23" s="1" t="s">
        <v>3</v>
      </c>
    </row>
    <row r="24" spans="1:7" x14ac:dyDescent="0.25">
      <c r="B24" t="s">
        <v>99</v>
      </c>
    </row>
    <row r="25" spans="1:7" x14ac:dyDescent="0.25">
      <c r="B25" t="s">
        <v>100</v>
      </c>
    </row>
    <row r="26" spans="1:7" x14ac:dyDescent="0.25">
      <c r="B26" t="s">
        <v>101</v>
      </c>
    </row>
    <row r="27" spans="1:7" x14ac:dyDescent="0.25">
      <c r="B27" t="s">
        <v>172</v>
      </c>
    </row>
    <row r="29" spans="1:7" s="1" customFormat="1" x14ac:dyDescent="0.25">
      <c r="A29" s="1" t="s">
        <v>6</v>
      </c>
    </row>
    <row r="30" spans="1:7" x14ac:dyDescent="0.25">
      <c r="B30" t="s">
        <v>170</v>
      </c>
    </row>
    <row r="56" spans="1:13" s="1" customFormat="1" x14ac:dyDescent="0.25">
      <c r="A56" s="1" t="s">
        <v>4</v>
      </c>
    </row>
    <row r="59" spans="1:13" ht="52.5" x14ac:dyDescent="0.25">
      <c r="A59" s="3" t="s">
        <v>5</v>
      </c>
      <c r="B59" s="3" t="s">
        <v>27</v>
      </c>
      <c r="C59" s="3" t="s">
        <v>7</v>
      </c>
    </row>
    <row r="60" spans="1:13" x14ac:dyDescent="0.25">
      <c r="A60" s="7"/>
      <c r="B60" s="2"/>
      <c r="C60" s="2"/>
    </row>
    <row r="61" spans="1:13" x14ac:dyDescent="0.25">
      <c r="A61" s="7"/>
      <c r="B61" s="2"/>
      <c r="C61" s="2"/>
      <c r="K61" s="8"/>
      <c r="L61" s="8"/>
      <c r="M61" s="8"/>
    </row>
    <row r="62" spans="1:13" x14ac:dyDescent="0.25">
      <c r="A62" s="7"/>
      <c r="B62" s="2"/>
      <c r="C62" s="2"/>
      <c r="H62" s="4"/>
      <c r="I62" s="5"/>
      <c r="K62" s="4"/>
      <c r="L62" s="5"/>
      <c r="M62" s="5"/>
    </row>
    <row r="63" spans="1:13" x14ac:dyDescent="0.25">
      <c r="A63" s="7"/>
      <c r="B63" s="2"/>
      <c r="C63" s="2"/>
      <c r="H63" s="4"/>
      <c r="I63" s="5"/>
      <c r="K63" s="4"/>
      <c r="L63" s="5"/>
      <c r="M63" s="5"/>
    </row>
    <row r="64" spans="1:13" x14ac:dyDescent="0.25">
      <c r="A64" s="7"/>
      <c r="B64" s="2"/>
      <c r="C64" s="2"/>
      <c r="H64" s="4"/>
      <c r="I64" s="5"/>
      <c r="K64" s="4"/>
      <c r="L64" s="5"/>
      <c r="M64" s="5"/>
    </row>
    <row r="65" spans="1:13" x14ac:dyDescent="0.25">
      <c r="A65" s="7"/>
      <c r="B65" s="2"/>
      <c r="C65" s="2"/>
      <c r="H65" s="4"/>
      <c r="I65" s="5"/>
      <c r="K65" s="4"/>
      <c r="L65" s="5"/>
      <c r="M65" s="5"/>
    </row>
    <row r="66" spans="1:13" x14ac:dyDescent="0.25">
      <c r="A66" s="7"/>
      <c r="B66" s="2"/>
      <c r="C66" s="2"/>
      <c r="K66" s="4"/>
      <c r="L66" s="5"/>
      <c r="M66" s="5"/>
    </row>
    <row r="67" spans="1:13" x14ac:dyDescent="0.25">
      <c r="A67" s="6"/>
      <c r="B67" s="6"/>
      <c r="C67" s="6"/>
      <c r="K67" s="4"/>
      <c r="L67" s="5"/>
      <c r="M67" s="5"/>
    </row>
    <row r="68" spans="1:13" x14ac:dyDescent="0.25">
      <c r="A68" s="6"/>
      <c r="B68" s="6"/>
      <c r="C68" s="6"/>
      <c r="K68" s="4"/>
      <c r="L68" s="5"/>
      <c r="M68" s="5"/>
    </row>
    <row r="69" spans="1:13" x14ac:dyDescent="0.25">
      <c r="A69" s="6"/>
      <c r="B69" s="6"/>
      <c r="C69" s="6"/>
    </row>
  </sheetData>
  <pageMargins left="0" right="0" top="0" bottom="0" header="0.31496062992125984" footer="0.31496062992125984"/>
  <pageSetup paperSize="1000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D64C-D3A0-43FA-A64B-B6CF50788E9C}">
  <dimension ref="A1:M57"/>
  <sheetViews>
    <sheetView zoomScaleNormal="100" workbookViewId="0">
      <selection activeCell="D7" sqref="D7"/>
    </sheetView>
  </sheetViews>
  <sheetFormatPr defaultRowHeight="15" x14ac:dyDescent="0.25"/>
  <cols>
    <col min="1" max="1" width="5.5703125" customWidth="1"/>
    <col min="2" max="2" width="2.7109375" customWidth="1"/>
    <col min="3" max="3" width="34.5703125" customWidth="1"/>
    <col min="4" max="4" width="30.5703125" customWidth="1"/>
    <col min="6" max="6" width="12.5703125" customWidth="1"/>
  </cols>
  <sheetData>
    <row r="1" spans="1:4" s="1" customFormat="1" x14ac:dyDescent="0.25">
      <c r="A1" s="1" t="s">
        <v>1</v>
      </c>
      <c r="B1" s="1" t="s">
        <v>103</v>
      </c>
    </row>
    <row r="2" spans="1:4" x14ac:dyDescent="0.25">
      <c r="B2" s="23" t="str">
        <f>"create table "&amp;B1&amp;" ("</f>
        <v>create table kelompok (</v>
      </c>
      <c r="C2" s="23"/>
    </row>
    <row r="3" spans="1:4" x14ac:dyDescent="0.25">
      <c r="B3" s="23"/>
      <c r="C3" s="23" t="s">
        <v>34</v>
      </c>
    </row>
    <row r="4" spans="1:4" x14ac:dyDescent="0.25">
      <c r="C4" t="s">
        <v>49</v>
      </c>
      <c r="D4" t="s">
        <v>96</v>
      </c>
    </row>
    <row r="5" spans="1:4" x14ac:dyDescent="0.25">
      <c r="C5" t="s">
        <v>103</v>
      </c>
      <c r="D5" t="s">
        <v>54</v>
      </c>
    </row>
    <row r="6" spans="1:4" x14ac:dyDescent="0.25">
      <c r="C6" t="s">
        <v>7</v>
      </c>
      <c r="D6" t="s">
        <v>29</v>
      </c>
    </row>
    <row r="7" spans="1:4" x14ac:dyDescent="0.25">
      <c r="B7" t="s">
        <v>0</v>
      </c>
    </row>
    <row r="9" spans="1:4" s="1" customFormat="1" x14ac:dyDescent="0.25">
      <c r="A9" s="1" t="s">
        <v>2</v>
      </c>
    </row>
    <row r="10" spans="1:4" x14ac:dyDescent="0.25">
      <c r="B10" t="str">
        <f>"alter table "&amp;B1&amp;" add constraint pk_"&amp;B1&amp;" primary key (id);"</f>
        <v>alter table kelompok add constraint pk_kelompok primary key (id);</v>
      </c>
    </row>
    <row r="12" spans="1:4" s="1" customFormat="1" x14ac:dyDescent="0.25">
      <c r="A12" s="1" t="s">
        <v>3</v>
      </c>
    </row>
    <row r="13" spans="1:4" x14ac:dyDescent="0.25">
      <c r="B13" t="s">
        <v>141</v>
      </c>
    </row>
    <row r="17" spans="1:1" s="1" customFormat="1" x14ac:dyDescent="0.25">
      <c r="A17" s="1" t="s">
        <v>6</v>
      </c>
    </row>
    <row r="44" spans="1:3" s="1" customFormat="1" x14ac:dyDescent="0.25">
      <c r="A44" s="1" t="s">
        <v>4</v>
      </c>
    </row>
    <row r="47" spans="1:3" ht="52.5" x14ac:dyDescent="0.25">
      <c r="A47" s="3" t="s">
        <v>5</v>
      </c>
      <c r="B47" s="3" t="s">
        <v>27</v>
      </c>
      <c r="C47" s="3" t="s">
        <v>7</v>
      </c>
    </row>
    <row r="48" spans="1:3" x14ac:dyDescent="0.25">
      <c r="A48" s="7"/>
      <c r="B48" s="2"/>
      <c r="C48" s="2"/>
    </row>
    <row r="49" spans="1:13" x14ac:dyDescent="0.25">
      <c r="A49" s="7"/>
      <c r="B49" s="2"/>
      <c r="C49" s="2"/>
      <c r="K49" s="8"/>
      <c r="L49" s="8"/>
      <c r="M49" s="8"/>
    </row>
    <row r="50" spans="1:13" x14ac:dyDescent="0.25">
      <c r="A50" s="7"/>
      <c r="B50" s="2"/>
      <c r="C50" s="2"/>
      <c r="H50" s="4"/>
      <c r="I50" s="5"/>
      <c r="K50" s="4"/>
      <c r="L50" s="5"/>
      <c r="M50" s="5"/>
    </row>
    <row r="51" spans="1:13" x14ac:dyDescent="0.25">
      <c r="A51" s="7"/>
      <c r="B51" s="2"/>
      <c r="C51" s="2"/>
      <c r="H51" s="4"/>
      <c r="I51" s="5"/>
      <c r="K51" s="4"/>
      <c r="L51" s="5"/>
      <c r="M51" s="5"/>
    </row>
    <row r="52" spans="1:13" x14ac:dyDescent="0.25">
      <c r="A52" s="7"/>
      <c r="B52" s="2"/>
      <c r="C52" s="2"/>
      <c r="H52" s="4"/>
      <c r="I52" s="5"/>
      <c r="K52" s="4"/>
      <c r="L52" s="5"/>
      <c r="M52" s="5"/>
    </row>
    <row r="53" spans="1:13" x14ac:dyDescent="0.25">
      <c r="A53" s="7"/>
      <c r="B53" s="2"/>
      <c r="C53" s="2"/>
      <c r="H53" s="4"/>
      <c r="I53" s="5"/>
      <c r="K53" s="4"/>
      <c r="L53" s="5"/>
      <c r="M53" s="5"/>
    </row>
    <row r="54" spans="1:13" x14ac:dyDescent="0.25">
      <c r="A54" s="7"/>
      <c r="B54" s="2"/>
      <c r="C54" s="2"/>
      <c r="K54" s="4"/>
      <c r="L54" s="5"/>
      <c r="M54" s="5"/>
    </row>
    <row r="55" spans="1:13" x14ac:dyDescent="0.25">
      <c r="A55" s="6"/>
      <c r="B55" s="6"/>
      <c r="C55" s="6"/>
      <c r="K55" s="4"/>
      <c r="L55" s="5"/>
      <c r="M55" s="5"/>
    </row>
    <row r="56" spans="1:13" x14ac:dyDescent="0.25">
      <c r="A56" s="6"/>
      <c r="B56" s="6"/>
      <c r="C56" s="6"/>
      <c r="K56" s="4"/>
      <c r="L56" s="5"/>
      <c r="M56" s="5"/>
    </row>
    <row r="57" spans="1:13" x14ac:dyDescent="0.25">
      <c r="A57" s="6"/>
      <c r="B57" s="6"/>
      <c r="C57" s="6"/>
    </row>
  </sheetData>
  <pageMargins left="0" right="0" top="0" bottom="0" header="0.31496062992125984" footer="0.31496062992125984"/>
  <pageSetup paperSize="1000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65B6-B6E7-4754-90D9-947CE86BEF1F}">
  <dimension ref="A1:M55"/>
  <sheetViews>
    <sheetView zoomScaleNormal="100" workbookViewId="0">
      <selection activeCell="C17" sqref="C17"/>
    </sheetView>
  </sheetViews>
  <sheetFormatPr defaultRowHeight="15" x14ac:dyDescent="0.25"/>
  <cols>
    <col min="1" max="1" width="5.5703125" customWidth="1"/>
    <col min="2" max="2" width="2.7109375" customWidth="1"/>
    <col min="3" max="3" width="34.5703125" customWidth="1"/>
    <col min="4" max="4" width="30.5703125" customWidth="1"/>
    <col min="6" max="6" width="12.5703125" customWidth="1"/>
  </cols>
  <sheetData>
    <row r="1" spans="1:4" s="1" customFormat="1" x14ac:dyDescent="0.25">
      <c r="A1" s="1" t="s">
        <v>1</v>
      </c>
      <c r="B1" s="1" t="s">
        <v>194</v>
      </c>
    </row>
    <row r="2" spans="1:4" x14ac:dyDescent="0.25">
      <c r="B2" s="23" t="str">
        <f>"create table "&amp;B1&amp;" ("</f>
        <v>create table jenisjurnal (</v>
      </c>
      <c r="C2" s="23"/>
    </row>
    <row r="3" spans="1:4" x14ac:dyDescent="0.25">
      <c r="B3" s="23"/>
      <c r="C3" s="23" t="s">
        <v>5</v>
      </c>
      <c r="D3" t="s">
        <v>51</v>
      </c>
    </row>
    <row r="4" spans="1:4" x14ac:dyDescent="0.25">
      <c r="C4" t="s">
        <v>49</v>
      </c>
      <c r="D4" t="s">
        <v>50</v>
      </c>
    </row>
    <row r="5" spans="1:4" x14ac:dyDescent="0.25">
      <c r="C5" t="s">
        <v>194</v>
      </c>
      <c r="D5" t="s">
        <v>53</v>
      </c>
    </row>
    <row r="6" spans="1:4" x14ac:dyDescent="0.25">
      <c r="C6" t="s">
        <v>7</v>
      </c>
      <c r="D6" t="s">
        <v>29</v>
      </c>
    </row>
    <row r="7" spans="1:4" x14ac:dyDescent="0.25">
      <c r="B7" t="s">
        <v>0</v>
      </c>
    </row>
    <row r="9" spans="1:4" s="1" customFormat="1" x14ac:dyDescent="0.25">
      <c r="A9" s="1" t="s">
        <v>2</v>
      </c>
    </row>
    <row r="10" spans="1:4" x14ac:dyDescent="0.25">
      <c r="B10" t="str">
        <f>"alter table "&amp;B1&amp;" add constraint pk_"&amp;B1&amp;" primary key (id);"</f>
        <v>alter table jenisjurnal add constraint pk_jenisjurnal primary key (id);</v>
      </c>
    </row>
    <row r="12" spans="1:4" s="1" customFormat="1" x14ac:dyDescent="0.25">
      <c r="A12" s="1" t="s">
        <v>3</v>
      </c>
    </row>
    <row r="13" spans="1:4" x14ac:dyDescent="0.25">
      <c r="B13" t="s">
        <v>195</v>
      </c>
    </row>
    <row r="15" spans="1:4" s="1" customFormat="1" x14ac:dyDescent="0.25">
      <c r="A15" s="1" t="s">
        <v>6</v>
      </c>
    </row>
    <row r="42" spans="1:13" s="1" customFormat="1" x14ac:dyDescent="0.25">
      <c r="A42" s="1" t="s">
        <v>4</v>
      </c>
    </row>
    <row r="45" spans="1:13" ht="52.5" x14ac:dyDescent="0.25">
      <c r="A45" s="3" t="s">
        <v>5</v>
      </c>
      <c r="B45" s="3" t="s">
        <v>27</v>
      </c>
      <c r="C45" s="3" t="s">
        <v>7</v>
      </c>
    </row>
    <row r="46" spans="1:13" x14ac:dyDescent="0.25">
      <c r="A46" s="7"/>
      <c r="B46" s="2"/>
      <c r="C46" s="2"/>
    </row>
    <row r="47" spans="1:13" x14ac:dyDescent="0.25">
      <c r="A47" s="7"/>
      <c r="B47" s="2"/>
      <c r="C47" s="2"/>
      <c r="K47" s="8"/>
      <c r="L47" s="8"/>
      <c r="M47" s="8"/>
    </row>
    <row r="48" spans="1:13" x14ac:dyDescent="0.25">
      <c r="A48" s="7"/>
      <c r="B48" s="2"/>
      <c r="C48" s="2"/>
      <c r="H48" s="4"/>
      <c r="I48" s="5"/>
      <c r="K48" s="4"/>
      <c r="L48" s="5"/>
      <c r="M48" s="5"/>
    </row>
    <row r="49" spans="1:13" x14ac:dyDescent="0.25">
      <c r="A49" s="7"/>
      <c r="B49" s="2"/>
      <c r="C49" s="2"/>
      <c r="H49" s="4"/>
      <c r="I49" s="5"/>
      <c r="K49" s="4"/>
      <c r="L49" s="5"/>
      <c r="M49" s="5"/>
    </row>
    <row r="50" spans="1:13" x14ac:dyDescent="0.25">
      <c r="A50" s="7"/>
      <c r="B50" s="2"/>
      <c r="C50" s="2"/>
      <c r="H50" s="4"/>
      <c r="I50" s="5"/>
      <c r="K50" s="4"/>
      <c r="L50" s="5"/>
      <c r="M50" s="5"/>
    </row>
    <row r="51" spans="1:13" x14ac:dyDescent="0.25">
      <c r="A51" s="7"/>
      <c r="B51" s="2"/>
      <c r="C51" s="2"/>
      <c r="H51" s="4"/>
      <c r="I51" s="5"/>
      <c r="K51" s="4"/>
      <c r="L51" s="5"/>
      <c r="M51" s="5"/>
    </row>
    <row r="52" spans="1:13" x14ac:dyDescent="0.25">
      <c r="A52" s="7"/>
      <c r="B52" s="2"/>
      <c r="C52" s="2"/>
      <c r="K52" s="4"/>
      <c r="L52" s="5"/>
      <c r="M52" s="5"/>
    </row>
    <row r="53" spans="1:13" x14ac:dyDescent="0.25">
      <c r="A53" s="6"/>
      <c r="B53" s="6"/>
      <c r="C53" s="6"/>
      <c r="K53" s="4"/>
      <c r="L53" s="5"/>
      <c r="M53" s="5"/>
    </row>
    <row r="54" spans="1:13" x14ac:dyDescent="0.25">
      <c r="A54" s="6"/>
      <c r="B54" s="6"/>
      <c r="C54" s="6"/>
      <c r="K54" s="4"/>
      <c r="L54" s="5"/>
      <c r="M54" s="5"/>
    </row>
    <row r="55" spans="1:13" x14ac:dyDescent="0.25">
      <c r="A55" s="6"/>
      <c r="B55" s="6"/>
      <c r="C55" s="6"/>
    </row>
  </sheetData>
  <pageMargins left="0" right="0" top="0" bottom="0" header="0.31496062992125984" footer="0.31496062992125984"/>
  <pageSetup paperSize="1000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9B6E-3725-4A6B-8C86-EDDFD2098F45}">
  <dimension ref="A1:M58"/>
  <sheetViews>
    <sheetView zoomScaleNormal="100" workbookViewId="0">
      <selection activeCell="B14" sqref="B14:B16"/>
    </sheetView>
  </sheetViews>
  <sheetFormatPr defaultRowHeight="15" x14ac:dyDescent="0.25"/>
  <cols>
    <col min="1" max="1" width="5.5703125" customWidth="1"/>
    <col min="2" max="2" width="2.7109375" customWidth="1"/>
    <col min="3" max="3" width="34.5703125" customWidth="1"/>
    <col min="4" max="4" width="30.5703125" customWidth="1"/>
    <col min="6" max="6" width="12.5703125" customWidth="1"/>
  </cols>
  <sheetData>
    <row r="1" spans="1:4" s="1" customFormat="1" x14ac:dyDescent="0.25">
      <c r="A1" s="1" t="s">
        <v>1</v>
      </c>
      <c r="B1" s="1" t="s">
        <v>258</v>
      </c>
    </row>
    <row r="2" spans="1:4" x14ac:dyDescent="0.25">
      <c r="B2" s="23" t="str">
        <f>"create table "&amp;B1&amp;" ("</f>
        <v>create table sandi (</v>
      </c>
      <c r="C2" s="23"/>
    </row>
    <row r="3" spans="1:4" x14ac:dyDescent="0.25">
      <c r="B3" s="23"/>
      <c r="C3" s="23" t="s">
        <v>34</v>
      </c>
    </row>
    <row r="4" spans="1:4" x14ac:dyDescent="0.25">
      <c r="C4" t="s">
        <v>49</v>
      </c>
      <c r="D4" t="s">
        <v>96</v>
      </c>
    </row>
    <row r="5" spans="1:4" x14ac:dyDescent="0.25">
      <c r="C5" t="s">
        <v>263</v>
      </c>
      <c r="D5" t="s">
        <v>259</v>
      </c>
    </row>
    <row r="6" spans="1:4" x14ac:dyDescent="0.25">
      <c r="C6" t="s">
        <v>258</v>
      </c>
      <c r="D6" t="s">
        <v>53</v>
      </c>
    </row>
    <row r="7" spans="1:4" x14ac:dyDescent="0.25">
      <c r="C7" t="s">
        <v>7</v>
      </c>
      <c r="D7" t="s">
        <v>29</v>
      </c>
    </row>
    <row r="8" spans="1:4" x14ac:dyDescent="0.25">
      <c r="B8" t="s">
        <v>0</v>
      </c>
    </row>
    <row r="10" spans="1:4" s="1" customFormat="1" x14ac:dyDescent="0.25">
      <c r="A10" s="1" t="s">
        <v>2</v>
      </c>
    </row>
    <row r="11" spans="1:4" x14ac:dyDescent="0.25">
      <c r="B11" t="str">
        <f>"alter table "&amp;B1&amp;" add constraint pk_"&amp;B1&amp;" primary key (id);"</f>
        <v>alter table sandi add constraint pk_sandi primary key (id);</v>
      </c>
    </row>
    <row r="13" spans="1:4" s="1" customFormat="1" x14ac:dyDescent="0.25">
      <c r="A13" s="1" t="s">
        <v>3</v>
      </c>
    </row>
    <row r="14" spans="1:4" x14ac:dyDescent="0.25">
      <c r="B14" t="s">
        <v>260</v>
      </c>
    </row>
    <row r="15" spans="1:4" x14ac:dyDescent="0.25">
      <c r="B15" t="s">
        <v>261</v>
      </c>
    </row>
    <row r="16" spans="1:4" x14ac:dyDescent="0.25">
      <c r="B16" t="s">
        <v>262</v>
      </c>
    </row>
    <row r="18" spans="1:1" s="1" customFormat="1" x14ac:dyDescent="0.25">
      <c r="A18" s="1" t="s">
        <v>6</v>
      </c>
    </row>
    <row r="45" spans="1:3" s="1" customFormat="1" x14ac:dyDescent="0.25">
      <c r="A45" s="1" t="s">
        <v>4</v>
      </c>
    </row>
    <row r="48" spans="1:3" ht="52.5" x14ac:dyDescent="0.25">
      <c r="A48" s="3" t="s">
        <v>5</v>
      </c>
      <c r="B48" s="3" t="s">
        <v>27</v>
      </c>
      <c r="C48" s="3" t="s">
        <v>7</v>
      </c>
    </row>
    <row r="49" spans="1:13" x14ac:dyDescent="0.25">
      <c r="A49" s="7"/>
      <c r="B49" s="2"/>
      <c r="C49" s="2"/>
    </row>
    <row r="50" spans="1:13" x14ac:dyDescent="0.25">
      <c r="A50" s="7"/>
      <c r="B50" s="2"/>
      <c r="C50" s="2"/>
      <c r="K50" s="8"/>
      <c r="L50" s="8"/>
      <c r="M50" s="8"/>
    </row>
    <row r="51" spans="1:13" x14ac:dyDescent="0.25">
      <c r="A51" s="7"/>
      <c r="B51" s="2"/>
      <c r="C51" s="2"/>
      <c r="H51" s="4"/>
      <c r="I51" s="5"/>
      <c r="K51" s="4"/>
      <c r="L51" s="5"/>
      <c r="M51" s="5"/>
    </row>
    <row r="52" spans="1:13" x14ac:dyDescent="0.25">
      <c r="A52" s="7"/>
      <c r="B52" s="2"/>
      <c r="C52" s="2"/>
      <c r="H52" s="4"/>
      <c r="I52" s="5"/>
      <c r="K52" s="4"/>
      <c r="L52" s="5"/>
      <c r="M52" s="5"/>
    </row>
    <row r="53" spans="1:13" x14ac:dyDescent="0.25">
      <c r="A53" s="7"/>
      <c r="B53" s="2"/>
      <c r="C53" s="2"/>
      <c r="H53" s="4"/>
      <c r="I53" s="5"/>
      <c r="K53" s="4"/>
      <c r="L53" s="5"/>
      <c r="M53" s="5"/>
    </row>
    <row r="54" spans="1:13" x14ac:dyDescent="0.25">
      <c r="A54" s="7"/>
      <c r="B54" s="2"/>
      <c r="C54" s="2"/>
      <c r="H54" s="4"/>
      <c r="I54" s="5"/>
      <c r="K54" s="4"/>
      <c r="L54" s="5"/>
      <c r="M54" s="5"/>
    </row>
    <row r="55" spans="1:13" x14ac:dyDescent="0.25">
      <c r="A55" s="7"/>
      <c r="B55" s="2"/>
      <c r="C55" s="2"/>
      <c r="K55" s="4"/>
      <c r="L55" s="5"/>
      <c r="M55" s="5"/>
    </row>
    <row r="56" spans="1:13" x14ac:dyDescent="0.25">
      <c r="A56" s="6"/>
      <c r="B56" s="6"/>
      <c r="C56" s="6"/>
      <c r="K56" s="4"/>
      <c r="L56" s="5"/>
      <c r="M56" s="5"/>
    </row>
    <row r="57" spans="1:13" x14ac:dyDescent="0.25">
      <c r="A57" s="6"/>
      <c r="B57" s="6"/>
      <c r="C57" s="6"/>
      <c r="K57" s="4"/>
      <c r="L57" s="5"/>
      <c r="M57" s="5"/>
    </row>
    <row r="58" spans="1:13" x14ac:dyDescent="0.25">
      <c r="A58" s="6"/>
      <c r="B58" s="6"/>
      <c r="C58" s="6"/>
    </row>
  </sheetData>
  <pageMargins left="0" right="0" top="0" bottom="0" header="0.31496062992125984" footer="0.31496062992125984"/>
  <pageSetup paperSize="1000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1906-5A06-4279-9A84-8DAD6093DF00}">
  <dimension ref="A1:M74"/>
  <sheetViews>
    <sheetView zoomScale="85" zoomScaleNormal="85" workbookViewId="0">
      <selection activeCell="F11" sqref="F11"/>
    </sheetView>
  </sheetViews>
  <sheetFormatPr defaultRowHeight="15" x14ac:dyDescent="0.25"/>
  <cols>
    <col min="1" max="1" width="5.5703125" customWidth="1"/>
    <col min="2" max="2" width="2.7109375" customWidth="1"/>
    <col min="3" max="3" width="18.28515625" bestFit="1" customWidth="1"/>
    <col min="4" max="4" width="22.5703125" bestFit="1" customWidth="1"/>
    <col min="5" max="5" width="19" bestFit="1" customWidth="1"/>
    <col min="6" max="6" width="50.140625" bestFit="1" customWidth="1"/>
  </cols>
  <sheetData>
    <row r="1" spans="1:6" s="1" customFormat="1" x14ac:dyDescent="0.25">
      <c r="A1" s="1" t="s">
        <v>1</v>
      </c>
      <c r="B1" s="1" t="s">
        <v>208</v>
      </c>
      <c r="E1" s="26" t="s">
        <v>61</v>
      </c>
      <c r="F1" s="26" t="s">
        <v>63</v>
      </c>
    </row>
    <row r="2" spans="1:6" x14ac:dyDescent="0.25">
      <c r="B2" s="25" t="str">
        <f>"create table "&amp;B1&amp;" ("</f>
        <v>create table jurnal (</v>
      </c>
      <c r="C2" s="25"/>
      <c r="D2" s="25"/>
      <c r="E2" s="27"/>
      <c r="F2" s="27"/>
    </row>
    <row r="3" spans="1:6" x14ac:dyDescent="0.25">
      <c r="B3" s="25"/>
      <c r="C3" s="25" t="s">
        <v>5</v>
      </c>
      <c r="D3" s="25" t="s">
        <v>51</v>
      </c>
      <c r="E3" s="27">
        <v>1</v>
      </c>
      <c r="F3" s="27"/>
    </row>
    <row r="4" spans="1:6" x14ac:dyDescent="0.25">
      <c r="C4" t="s">
        <v>224</v>
      </c>
      <c r="D4" t="s">
        <v>235</v>
      </c>
      <c r="E4" s="27">
        <v>1</v>
      </c>
      <c r="F4" s="27" t="s">
        <v>230</v>
      </c>
    </row>
    <row r="5" spans="1:6" x14ac:dyDescent="0.25">
      <c r="C5" t="s">
        <v>142</v>
      </c>
      <c r="D5" t="s">
        <v>235</v>
      </c>
      <c r="E5" s="27">
        <v>1</v>
      </c>
      <c r="F5" s="27" t="s">
        <v>225</v>
      </c>
    </row>
    <row r="6" spans="1:6" x14ac:dyDescent="0.25">
      <c r="C6" t="s">
        <v>229</v>
      </c>
      <c r="D6" t="s">
        <v>235</v>
      </c>
      <c r="E6" s="27">
        <v>1</v>
      </c>
      <c r="F6" s="27" t="s">
        <v>231</v>
      </c>
    </row>
    <row r="7" spans="1:6" x14ac:dyDescent="0.25">
      <c r="C7" t="s">
        <v>146</v>
      </c>
      <c r="D7" t="s">
        <v>235</v>
      </c>
      <c r="E7" s="27">
        <v>1</v>
      </c>
      <c r="F7" s="27" t="s">
        <v>232</v>
      </c>
    </row>
    <row r="8" spans="1:6" x14ac:dyDescent="0.25">
      <c r="C8" t="s">
        <v>233</v>
      </c>
      <c r="D8" t="s">
        <v>235</v>
      </c>
      <c r="E8" s="27">
        <v>1</v>
      </c>
      <c r="F8" s="27" t="s">
        <v>234</v>
      </c>
    </row>
    <row r="9" spans="1:6" x14ac:dyDescent="0.25">
      <c r="C9" t="s">
        <v>207</v>
      </c>
      <c r="D9" t="s">
        <v>235</v>
      </c>
      <c r="E9" s="27">
        <v>1</v>
      </c>
      <c r="F9" s="27" t="s">
        <v>226</v>
      </c>
    </row>
    <row r="10" spans="1:6" x14ac:dyDescent="0.25">
      <c r="C10" t="s">
        <v>200</v>
      </c>
      <c r="D10" t="s">
        <v>235</v>
      </c>
      <c r="E10" s="27">
        <v>1</v>
      </c>
      <c r="F10" s="27" t="s">
        <v>227</v>
      </c>
    </row>
    <row r="11" spans="1:6" x14ac:dyDescent="0.25">
      <c r="C11" t="s">
        <v>201</v>
      </c>
      <c r="D11" t="s">
        <v>235</v>
      </c>
      <c r="E11" s="27">
        <v>0</v>
      </c>
      <c r="F11" s="27" t="s">
        <v>228</v>
      </c>
    </row>
    <row r="12" spans="1:6" x14ac:dyDescent="0.25">
      <c r="C12" t="s">
        <v>289</v>
      </c>
      <c r="D12" t="s">
        <v>235</v>
      </c>
      <c r="E12" s="27">
        <v>0</v>
      </c>
      <c r="F12" s="27" t="s">
        <v>315</v>
      </c>
    </row>
    <row r="13" spans="1:6" x14ac:dyDescent="0.25">
      <c r="C13" t="s">
        <v>80</v>
      </c>
      <c r="D13" t="s">
        <v>235</v>
      </c>
      <c r="E13" s="27" t="s">
        <v>81</v>
      </c>
      <c r="F13" s="27" t="s">
        <v>202</v>
      </c>
    </row>
    <row r="14" spans="1:6" x14ac:dyDescent="0.25">
      <c r="C14" t="s">
        <v>254</v>
      </c>
      <c r="D14" t="s">
        <v>52</v>
      </c>
      <c r="E14" s="28">
        <v>1</v>
      </c>
      <c r="F14" s="27" t="s">
        <v>255</v>
      </c>
    </row>
    <row r="15" spans="1:6" x14ac:dyDescent="0.25">
      <c r="C15" t="s">
        <v>72</v>
      </c>
      <c r="D15" t="s">
        <v>30</v>
      </c>
      <c r="E15" s="28" t="s">
        <v>62</v>
      </c>
      <c r="F15" s="27" t="s">
        <v>203</v>
      </c>
    </row>
    <row r="16" spans="1:6" x14ac:dyDescent="0.25">
      <c r="C16" t="s">
        <v>73</v>
      </c>
      <c r="D16" t="s">
        <v>64</v>
      </c>
      <c r="E16" s="27" t="s">
        <v>205</v>
      </c>
      <c r="F16" s="27" t="s">
        <v>204</v>
      </c>
    </row>
    <row r="17" spans="1:6" x14ac:dyDescent="0.25">
      <c r="C17" t="s">
        <v>75</v>
      </c>
      <c r="D17" t="s">
        <v>52</v>
      </c>
      <c r="E17" s="27">
        <v>1</v>
      </c>
      <c r="F17" s="27" t="s">
        <v>256</v>
      </c>
    </row>
    <row r="18" spans="1:6" x14ac:dyDescent="0.25">
      <c r="C18" t="s">
        <v>76</v>
      </c>
      <c r="D18" t="s">
        <v>77</v>
      </c>
      <c r="E18" s="27"/>
      <c r="F18" s="27"/>
    </row>
    <row r="19" spans="1:6" x14ac:dyDescent="0.25">
      <c r="C19" t="s">
        <v>59</v>
      </c>
      <c r="D19" t="s">
        <v>30</v>
      </c>
      <c r="E19" s="28" t="s">
        <v>62</v>
      </c>
      <c r="F19" s="27"/>
    </row>
    <row r="20" spans="1:6" x14ac:dyDescent="0.25">
      <c r="C20" t="s">
        <v>66</v>
      </c>
      <c r="D20" t="s">
        <v>55</v>
      </c>
      <c r="E20" s="27">
        <v>5</v>
      </c>
      <c r="F20" s="27"/>
    </row>
    <row r="21" spans="1:6" x14ac:dyDescent="0.25">
      <c r="C21" t="s">
        <v>60</v>
      </c>
      <c r="D21" t="s">
        <v>64</v>
      </c>
      <c r="E21" s="27" t="s">
        <v>74</v>
      </c>
      <c r="F21" s="27" t="s">
        <v>206</v>
      </c>
    </row>
    <row r="22" spans="1:6" x14ac:dyDescent="0.25">
      <c r="C22" t="s">
        <v>150</v>
      </c>
      <c r="D22" t="s">
        <v>71</v>
      </c>
      <c r="E22" s="27"/>
      <c r="F22" s="27" t="s">
        <v>150</v>
      </c>
    </row>
    <row r="23" spans="1:6" x14ac:dyDescent="0.25">
      <c r="C23" t="s">
        <v>151</v>
      </c>
      <c r="D23" t="s">
        <v>71</v>
      </c>
      <c r="E23" s="27"/>
      <c r="F23" s="27" t="s">
        <v>151</v>
      </c>
    </row>
    <row r="24" spans="1:6" x14ac:dyDescent="0.25">
      <c r="C24" t="s">
        <v>312</v>
      </c>
      <c r="D24" t="s">
        <v>313</v>
      </c>
      <c r="E24" s="27"/>
      <c r="F24" s="27" t="s">
        <v>314</v>
      </c>
    </row>
    <row r="25" spans="1:6" x14ac:dyDescent="0.25">
      <c r="C25" t="s">
        <v>7</v>
      </c>
      <c r="D25" t="s">
        <v>57</v>
      </c>
      <c r="E25" s="27"/>
      <c r="F25" s="27"/>
    </row>
    <row r="26" spans="1:6" x14ac:dyDescent="0.25">
      <c r="B26" t="s">
        <v>0</v>
      </c>
      <c r="E26" s="27"/>
      <c r="F26" s="27"/>
    </row>
    <row r="28" spans="1:6" s="1" customFormat="1" x14ac:dyDescent="0.25">
      <c r="A28" s="1" t="s">
        <v>2</v>
      </c>
    </row>
    <row r="29" spans="1:6" x14ac:dyDescent="0.25">
      <c r="B29" t="str">
        <f>"alter table "&amp;B1&amp;" add constraint pk_"&amp;B1&amp;" primary key (id);"</f>
        <v>alter table jurnal add constraint pk_jurnal primary key (id);</v>
      </c>
    </row>
    <row r="31" spans="1:6" s="1" customFormat="1" x14ac:dyDescent="0.25">
      <c r="A31" s="1" t="s">
        <v>3</v>
      </c>
    </row>
    <row r="32" spans="1:6" x14ac:dyDescent="0.25">
      <c r="B32" t="s">
        <v>268</v>
      </c>
    </row>
    <row r="34" spans="1:1" s="1" customFormat="1" x14ac:dyDescent="0.25">
      <c r="A34" s="1" t="s">
        <v>6</v>
      </c>
    </row>
    <row r="61" spans="1:3" s="1" customFormat="1" x14ac:dyDescent="0.25">
      <c r="A61" s="1" t="s">
        <v>4</v>
      </c>
    </row>
    <row r="64" spans="1:3" ht="52.5" x14ac:dyDescent="0.25">
      <c r="A64" s="3" t="s">
        <v>5</v>
      </c>
      <c r="B64" s="3" t="s">
        <v>27</v>
      </c>
      <c r="C64" s="3" t="s">
        <v>7</v>
      </c>
    </row>
    <row r="65" spans="1:13" x14ac:dyDescent="0.25">
      <c r="A65" s="7"/>
      <c r="B65" s="2"/>
      <c r="C65" s="2"/>
    </row>
    <row r="66" spans="1:13" x14ac:dyDescent="0.25">
      <c r="A66" s="7"/>
      <c r="B66" s="2"/>
      <c r="C66" s="2"/>
      <c r="K66" s="8"/>
      <c r="L66" s="8"/>
      <c r="M66" s="8"/>
    </row>
    <row r="67" spans="1:13" x14ac:dyDescent="0.25">
      <c r="A67" s="7"/>
      <c r="B67" s="2"/>
      <c r="C67" s="2"/>
      <c r="H67" s="4"/>
      <c r="I67" s="5"/>
      <c r="K67" s="4"/>
      <c r="L67" s="5"/>
      <c r="M67" s="5"/>
    </row>
    <row r="68" spans="1:13" x14ac:dyDescent="0.25">
      <c r="A68" s="7"/>
      <c r="B68" s="2"/>
      <c r="C68" s="2"/>
      <c r="H68" s="4"/>
      <c r="I68" s="5"/>
      <c r="K68" s="4"/>
      <c r="L68" s="5"/>
      <c r="M68" s="5"/>
    </row>
    <row r="69" spans="1:13" x14ac:dyDescent="0.25">
      <c r="A69" s="7"/>
      <c r="B69" s="2"/>
      <c r="C69" s="2"/>
      <c r="H69" s="4"/>
      <c r="I69" s="5"/>
      <c r="K69" s="4"/>
      <c r="L69" s="5"/>
      <c r="M69" s="5"/>
    </row>
    <row r="70" spans="1:13" x14ac:dyDescent="0.25">
      <c r="A70" s="7"/>
      <c r="B70" s="2"/>
      <c r="C70" s="2"/>
      <c r="H70" s="4"/>
      <c r="I70" s="5"/>
      <c r="K70" s="4"/>
      <c r="L70" s="5"/>
      <c r="M70" s="5"/>
    </row>
    <row r="71" spans="1:13" x14ac:dyDescent="0.25">
      <c r="A71" s="7"/>
      <c r="B71" s="2"/>
      <c r="C71" s="2"/>
      <c r="K71" s="4"/>
      <c r="L71" s="5"/>
      <c r="M71" s="5"/>
    </row>
    <row r="72" spans="1:13" x14ac:dyDescent="0.25">
      <c r="A72" s="6"/>
      <c r="B72" s="6"/>
      <c r="C72" s="6"/>
      <c r="K72" s="4"/>
      <c r="L72" s="5"/>
      <c r="M72" s="5"/>
    </row>
    <row r="73" spans="1:13" x14ac:dyDescent="0.25">
      <c r="A73" s="6"/>
      <c r="B73" s="6"/>
      <c r="C73" s="6"/>
      <c r="K73" s="4"/>
      <c r="L73" s="5"/>
      <c r="M73" s="5"/>
    </row>
    <row r="74" spans="1:13" x14ac:dyDescent="0.25">
      <c r="A74" s="6"/>
      <c r="B74" s="6"/>
      <c r="C74" s="6"/>
    </row>
  </sheetData>
  <pageMargins left="0" right="0" top="0" bottom="0" header="0.31496062992125984" footer="0.31496062992125984"/>
  <pageSetup paperSize="1000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7237-1E80-4B52-9D41-A273D7DA6F2E}">
  <sheetPr codeName="Sheet4"/>
  <dimension ref="A1:M55"/>
  <sheetViews>
    <sheetView zoomScaleNormal="100" workbookViewId="0">
      <selection activeCell="B16" sqref="B16"/>
    </sheetView>
  </sheetViews>
  <sheetFormatPr defaultRowHeight="15" x14ac:dyDescent="0.25"/>
  <cols>
    <col min="1" max="1" width="5.5703125" customWidth="1"/>
    <col min="2" max="2" width="2.7109375" customWidth="1"/>
    <col min="3" max="3" width="16.7109375" bestFit="1" customWidth="1"/>
    <col min="4" max="4" width="21.42578125" customWidth="1"/>
    <col min="6" max="6" width="12.5703125" customWidth="1"/>
  </cols>
  <sheetData>
    <row r="1" spans="1:4" s="1" customFormat="1" x14ac:dyDescent="0.25">
      <c r="A1" s="1" t="s">
        <v>1</v>
      </c>
      <c r="B1" s="1" t="s">
        <v>48</v>
      </c>
    </row>
    <row r="2" spans="1:4" x14ac:dyDescent="0.25">
      <c r="B2" s="23" t="str">
        <f>"create table "&amp;B1&amp;" ("</f>
        <v>create table kategori (</v>
      </c>
      <c r="C2" s="23"/>
    </row>
    <row r="3" spans="1:4" x14ac:dyDescent="0.25">
      <c r="B3" s="23"/>
      <c r="C3" s="23" t="s">
        <v>34</v>
      </c>
    </row>
    <row r="4" spans="1:4" x14ac:dyDescent="0.25">
      <c r="C4" t="s">
        <v>142</v>
      </c>
      <c r="D4" t="s">
        <v>52</v>
      </c>
    </row>
    <row r="5" spans="1:4" x14ac:dyDescent="0.25">
      <c r="C5" t="s">
        <v>49</v>
      </c>
      <c r="D5" t="s">
        <v>50</v>
      </c>
    </row>
    <row r="6" spans="1:4" x14ac:dyDescent="0.25">
      <c r="C6" t="s">
        <v>48</v>
      </c>
      <c r="D6" t="s">
        <v>143</v>
      </c>
    </row>
    <row r="7" spans="1:4" x14ac:dyDescent="0.25">
      <c r="B7" t="s">
        <v>0</v>
      </c>
    </row>
    <row r="9" spans="1:4" s="1" customFormat="1" x14ac:dyDescent="0.25">
      <c r="A9" s="1" t="s">
        <v>2</v>
      </c>
    </row>
    <row r="10" spans="1:4" x14ac:dyDescent="0.25">
      <c r="B10" t="str">
        <f>"alter table "&amp;B1&amp;" add constraint pk_"&amp;B1&amp;" primary key (id);"</f>
        <v>alter table kategori add constraint pk_kategori primary key (id);</v>
      </c>
    </row>
    <row r="12" spans="1:4" s="1" customFormat="1" x14ac:dyDescent="0.25">
      <c r="A12" s="1" t="s">
        <v>3</v>
      </c>
    </row>
    <row r="13" spans="1:4" x14ac:dyDescent="0.25">
      <c r="B13" t="s">
        <v>144</v>
      </c>
    </row>
    <row r="15" spans="1:4" s="1" customFormat="1" x14ac:dyDescent="0.25">
      <c r="A15" s="1" t="s">
        <v>6</v>
      </c>
    </row>
    <row r="16" spans="1:4" x14ac:dyDescent="0.25">
      <c r="B16" t="s">
        <v>169</v>
      </c>
    </row>
    <row r="42" spans="1:13" s="1" customFormat="1" x14ac:dyDescent="0.25">
      <c r="A42" s="1" t="s">
        <v>4</v>
      </c>
    </row>
    <row r="45" spans="1:13" ht="52.5" x14ac:dyDescent="0.25">
      <c r="A45" s="3" t="s">
        <v>5</v>
      </c>
      <c r="B45" s="3" t="s">
        <v>27</v>
      </c>
      <c r="C45" s="3" t="s">
        <v>7</v>
      </c>
    </row>
    <row r="46" spans="1:13" x14ac:dyDescent="0.25">
      <c r="A46" s="7"/>
      <c r="B46" s="2"/>
      <c r="C46" s="2"/>
    </row>
    <row r="47" spans="1:13" x14ac:dyDescent="0.25">
      <c r="A47" s="7"/>
      <c r="B47" s="2"/>
      <c r="C47" s="2"/>
      <c r="K47" s="8"/>
      <c r="L47" s="8"/>
      <c r="M47" s="8"/>
    </row>
    <row r="48" spans="1:13" x14ac:dyDescent="0.25">
      <c r="A48" s="7"/>
      <c r="B48" s="2"/>
      <c r="C48" s="2"/>
      <c r="H48" s="4"/>
      <c r="I48" s="5"/>
      <c r="K48" s="4"/>
      <c r="L48" s="5"/>
      <c r="M48" s="5"/>
    </row>
    <row r="49" spans="1:13" x14ac:dyDescent="0.25">
      <c r="A49" s="7"/>
      <c r="B49" s="2"/>
      <c r="C49" s="2"/>
      <c r="H49" s="4"/>
      <c r="I49" s="5"/>
      <c r="K49" s="4"/>
      <c r="L49" s="5"/>
      <c r="M49" s="5"/>
    </row>
    <row r="50" spans="1:13" x14ac:dyDescent="0.25">
      <c r="A50" s="7"/>
      <c r="B50" s="2"/>
      <c r="C50" s="2"/>
      <c r="H50" s="4"/>
      <c r="I50" s="5"/>
      <c r="K50" s="4"/>
      <c r="L50" s="5"/>
      <c r="M50" s="5"/>
    </row>
    <row r="51" spans="1:13" x14ac:dyDescent="0.25">
      <c r="A51" s="7"/>
      <c r="B51" s="2"/>
      <c r="C51" s="2"/>
      <c r="H51" s="4"/>
      <c r="I51" s="5"/>
      <c r="K51" s="4"/>
      <c r="L51" s="5"/>
      <c r="M51" s="5"/>
    </row>
    <row r="52" spans="1:13" x14ac:dyDescent="0.25">
      <c r="A52" s="7"/>
      <c r="B52" s="2"/>
      <c r="C52" s="2"/>
      <c r="K52" s="4"/>
      <c r="L52" s="5"/>
      <c r="M52" s="5"/>
    </row>
    <row r="53" spans="1:13" x14ac:dyDescent="0.25">
      <c r="A53" s="6"/>
      <c r="B53" s="6"/>
      <c r="C53" s="6"/>
      <c r="K53" s="4"/>
      <c r="L53" s="5"/>
      <c r="M53" s="5"/>
    </row>
    <row r="54" spans="1:13" x14ac:dyDescent="0.25">
      <c r="A54" s="6"/>
      <c r="B54" s="6"/>
      <c r="C54" s="6"/>
      <c r="K54" s="4"/>
      <c r="L54" s="5"/>
      <c r="M54" s="5"/>
    </row>
    <row r="55" spans="1:13" x14ac:dyDescent="0.25">
      <c r="A55" s="6"/>
      <c r="B55" s="6"/>
      <c r="C55" s="6"/>
    </row>
  </sheetData>
  <pageMargins left="0" right="0" top="0" bottom="0" header="0.31496062992125984" footer="0.31496062992125984"/>
  <pageSetup paperSize="1000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E46B-3ED6-42A0-B577-489BDC272A96}">
  <sheetPr codeName="Sheet5"/>
  <dimension ref="A1:M61"/>
  <sheetViews>
    <sheetView topLeftCell="A29" zoomScaleNormal="100" workbookViewId="0">
      <selection activeCell="H36" sqref="H36"/>
    </sheetView>
  </sheetViews>
  <sheetFormatPr defaultRowHeight="15" x14ac:dyDescent="0.25"/>
  <cols>
    <col min="1" max="1" width="5.5703125" customWidth="1"/>
    <col min="2" max="2" width="2.7109375" customWidth="1"/>
    <col min="3" max="3" width="34.5703125" customWidth="1"/>
    <col min="4" max="4" width="21.42578125" customWidth="1"/>
    <col min="6" max="6" width="12.5703125" customWidth="1"/>
    <col min="7" max="7" width="17.42578125" customWidth="1"/>
  </cols>
  <sheetData>
    <row r="1" spans="1:4" s="1" customFormat="1" x14ac:dyDescent="0.25">
      <c r="A1" s="1" t="s">
        <v>1</v>
      </c>
      <c r="B1" s="1" t="s">
        <v>164</v>
      </c>
    </row>
    <row r="2" spans="1:4" x14ac:dyDescent="0.25">
      <c r="B2" s="25" t="str">
        <f>"create table "&amp;B1&amp;" ("</f>
        <v>create table produk (</v>
      </c>
      <c r="C2" s="25"/>
      <c r="D2" s="25"/>
    </row>
    <row r="3" spans="1:4" x14ac:dyDescent="0.25">
      <c r="B3" s="25"/>
      <c r="C3" s="25" t="s">
        <v>5</v>
      </c>
      <c r="D3" s="25" t="s">
        <v>51</v>
      </c>
    </row>
    <row r="4" spans="1:4" x14ac:dyDescent="0.25">
      <c r="C4" t="s">
        <v>164</v>
      </c>
      <c r="D4" t="s">
        <v>145</v>
      </c>
    </row>
    <row r="5" spans="1:4" x14ac:dyDescent="0.25">
      <c r="C5" t="s">
        <v>190</v>
      </c>
      <c r="D5" t="s">
        <v>52</v>
      </c>
    </row>
    <row r="6" spans="1:4" x14ac:dyDescent="0.25">
      <c r="C6" t="s">
        <v>191</v>
      </c>
      <c r="D6" t="s">
        <v>52</v>
      </c>
    </row>
    <row r="7" spans="1:4" x14ac:dyDescent="0.25">
      <c r="C7" t="s">
        <v>192</v>
      </c>
      <c r="D7" t="s">
        <v>52</v>
      </c>
    </row>
    <row r="8" spans="1:4" x14ac:dyDescent="0.25">
      <c r="C8" t="s">
        <v>193</v>
      </c>
      <c r="D8" t="s">
        <v>52</v>
      </c>
    </row>
    <row r="9" spans="1:4" x14ac:dyDescent="0.25">
      <c r="C9" t="s">
        <v>291</v>
      </c>
      <c r="D9" t="s">
        <v>52</v>
      </c>
    </row>
    <row r="10" spans="1:4" x14ac:dyDescent="0.25">
      <c r="C10" t="s">
        <v>292</v>
      </c>
      <c r="D10" t="s">
        <v>52</v>
      </c>
    </row>
    <row r="11" spans="1:4" x14ac:dyDescent="0.25">
      <c r="C11" t="s">
        <v>293</v>
      </c>
      <c r="D11" t="s">
        <v>52</v>
      </c>
    </row>
    <row r="12" spans="1:4" x14ac:dyDescent="0.25">
      <c r="C12" t="s">
        <v>294</v>
      </c>
      <c r="D12" t="s">
        <v>52</v>
      </c>
    </row>
    <row r="13" spans="1:4" x14ac:dyDescent="0.25">
      <c r="C13" t="s">
        <v>196</v>
      </c>
      <c r="D13" t="s">
        <v>52</v>
      </c>
    </row>
    <row r="14" spans="1:4" x14ac:dyDescent="0.25">
      <c r="C14" t="s">
        <v>197</v>
      </c>
      <c r="D14" t="s">
        <v>52</v>
      </c>
    </row>
    <row r="15" spans="1:4" x14ac:dyDescent="0.25">
      <c r="C15" t="s">
        <v>198</v>
      </c>
      <c r="D15" t="s">
        <v>52</v>
      </c>
    </row>
    <row r="16" spans="1:4" x14ac:dyDescent="0.25">
      <c r="C16" t="s">
        <v>199</v>
      </c>
      <c r="D16" t="s">
        <v>52</v>
      </c>
    </row>
    <row r="17" spans="1:10" x14ac:dyDescent="0.25">
      <c r="C17" t="s">
        <v>295</v>
      </c>
      <c r="D17" t="s">
        <v>52</v>
      </c>
    </row>
    <row r="18" spans="1:10" x14ac:dyDescent="0.25">
      <c r="C18" t="s">
        <v>296</v>
      </c>
      <c r="D18" t="s">
        <v>52</v>
      </c>
    </row>
    <row r="19" spans="1:10" x14ac:dyDescent="0.25">
      <c r="C19" t="s">
        <v>297</v>
      </c>
      <c r="D19" t="s">
        <v>52</v>
      </c>
    </row>
    <row r="20" spans="1:10" x14ac:dyDescent="0.25">
      <c r="C20" t="s">
        <v>298</v>
      </c>
      <c r="D20" t="s">
        <v>52</v>
      </c>
    </row>
    <row r="21" spans="1:10" x14ac:dyDescent="0.25">
      <c r="C21" t="s">
        <v>7</v>
      </c>
      <c r="D21" t="s">
        <v>29</v>
      </c>
    </row>
    <row r="22" spans="1:10" x14ac:dyDescent="0.25">
      <c r="B22" t="s">
        <v>0</v>
      </c>
    </row>
    <row r="24" spans="1:10" s="1" customFormat="1" x14ac:dyDescent="0.25">
      <c r="A24" s="1" t="s">
        <v>2</v>
      </c>
    </row>
    <row r="25" spans="1:10" x14ac:dyDescent="0.25">
      <c r="B25" t="str">
        <f>"alter table "&amp;B1&amp;" add constraint pk_"&amp;B1&amp;" primary key (id);"</f>
        <v>alter table produk add constraint pk_produk primary key (id);</v>
      </c>
    </row>
    <row r="27" spans="1:10" s="1" customFormat="1" x14ac:dyDescent="0.25">
      <c r="A27" s="1" t="s">
        <v>3</v>
      </c>
    </row>
    <row r="28" spans="1:10" x14ac:dyDescent="0.25">
      <c r="B28" t="s">
        <v>165</v>
      </c>
    </row>
    <row r="30" spans="1:10" s="1" customFormat="1" x14ac:dyDescent="0.25">
      <c r="A30" s="1" t="s">
        <v>6</v>
      </c>
    </row>
    <row r="31" spans="1:10" x14ac:dyDescent="0.25">
      <c r="B31" t="str">
        <f t="shared" ref="B31:B38" si="0">"alter table "&amp; $B$1 &amp; " add constraint fk_"&amp; $B$1 &amp; "_" &amp; H31 &amp; " foreign key (" &amp; C5 &amp; ") references coa (id);"</f>
        <v>alter table produk add constraint fk_produk_1 foreign key (idcoasetord) references coa (id);</v>
      </c>
      <c r="H31">
        <v>1</v>
      </c>
      <c r="J31" t="s">
        <v>299</v>
      </c>
    </row>
    <row r="32" spans="1:10" x14ac:dyDescent="0.25">
      <c r="B32" t="str">
        <f t="shared" si="0"/>
        <v>alter table produk add constraint fk_produk_2 foreign key (idcoasetork) references coa (id);</v>
      </c>
      <c r="H32">
        <v>2</v>
      </c>
      <c r="J32" t="s">
        <v>300</v>
      </c>
    </row>
    <row r="33" spans="1:10" x14ac:dyDescent="0.25">
      <c r="B33" t="str">
        <f t="shared" si="0"/>
        <v>alter table produk add constraint fk_produk_3 foreign key (idcoatarikd) references coa (id);</v>
      </c>
      <c r="H33">
        <v>3</v>
      </c>
    </row>
    <row r="34" spans="1:10" x14ac:dyDescent="0.25">
      <c r="B34" t="str">
        <f t="shared" si="0"/>
        <v>alter table produk add constraint fk_produk_4 foreign key (idcoatarikk) references coa (id);</v>
      </c>
      <c r="H34">
        <v>4</v>
      </c>
    </row>
    <row r="35" spans="1:10" x14ac:dyDescent="0.25">
      <c r="B35" t="str">
        <f t="shared" si="0"/>
        <v>alter table produk add constraint fk_produk_5 foreign key (idcoatfkeluard) references coa (id);</v>
      </c>
      <c r="H35">
        <v>5</v>
      </c>
      <c r="J35" t="str">
        <f>"alter table produk DROP FOREIGN KEY fk_produk_"&amp; H35 &amp;";"</f>
        <v>alter table produk DROP FOREIGN KEY fk_produk_5;</v>
      </c>
    </row>
    <row r="36" spans="1:10" x14ac:dyDescent="0.25">
      <c r="B36" t="str">
        <f t="shared" si="0"/>
        <v>alter table produk add constraint fk_produk_6 foreign key (idcoatfkeluark) references coa (id);</v>
      </c>
      <c r="H36">
        <v>6</v>
      </c>
      <c r="J36" t="str">
        <f t="shared" ref="J36:J46" si="1">"alter table produk DROP FOREIGN KEY fk_produk_"&amp; H36 &amp;";"</f>
        <v>alter table produk DROP FOREIGN KEY fk_produk_6;</v>
      </c>
    </row>
    <row r="37" spans="1:10" x14ac:dyDescent="0.25">
      <c r="B37" t="str">
        <f t="shared" si="0"/>
        <v>alter table produk add constraint fk_produk_7 foreign key (idcoatfmasukd) references coa (id);</v>
      </c>
      <c r="H37">
        <v>7</v>
      </c>
      <c r="J37" t="str">
        <f t="shared" si="1"/>
        <v>alter table produk DROP FOREIGN KEY fk_produk_7;</v>
      </c>
    </row>
    <row r="38" spans="1:10" x14ac:dyDescent="0.25">
      <c r="B38" t="str">
        <f t="shared" si="0"/>
        <v>alter table produk add constraint fk_produk_8 foreign key (idcoatfmasukk) references coa (id);</v>
      </c>
      <c r="H38">
        <v>8</v>
      </c>
      <c r="J38" t="str">
        <f t="shared" si="1"/>
        <v>alter table produk DROP FOREIGN KEY fk_produk_8;</v>
      </c>
    </row>
    <row r="39" spans="1:10" x14ac:dyDescent="0.25">
      <c r="B39" t="str">
        <f>"alter table "&amp; $B$1 &amp; " add constraint fk_"&amp; $B$1 &amp; "_" &amp; H39 &amp; " foreign key (" &amp; C13 &amp; ") references jenisjurnal (id);"</f>
        <v>alter table produk add constraint fk_produk_9 foreign key (idjenisjurnalsetord) references jenisjurnal (id);</v>
      </c>
      <c r="H39">
        <v>9</v>
      </c>
      <c r="J39" t="str">
        <f t="shared" si="1"/>
        <v>alter table produk DROP FOREIGN KEY fk_produk_9;</v>
      </c>
    </row>
    <row r="40" spans="1:10" x14ac:dyDescent="0.25">
      <c r="B40" t="str">
        <f t="shared" ref="B40:B46" si="2">"alter table "&amp; $B$1 &amp; " add constraint fk_"&amp; $B$1 &amp; "_" &amp; H40 &amp; " foreign key (" &amp; C14 &amp; ") references jenisjurnal (id);"</f>
        <v>alter table produk add constraint fk_produk_10 foreign key (idjenisjurnalsetork) references jenisjurnal (id);</v>
      </c>
      <c r="H40">
        <v>10</v>
      </c>
      <c r="J40" t="str">
        <f t="shared" si="1"/>
        <v>alter table produk DROP FOREIGN KEY fk_produk_10;</v>
      </c>
    </row>
    <row r="41" spans="1:10" x14ac:dyDescent="0.25">
      <c r="B41" t="str">
        <f t="shared" si="2"/>
        <v>alter table produk add constraint fk_produk_11 foreign key (idjenisjurnaltarikd) references jenisjurnal (id);</v>
      </c>
      <c r="H41">
        <v>11</v>
      </c>
      <c r="J41" t="str">
        <f t="shared" si="1"/>
        <v>alter table produk DROP FOREIGN KEY fk_produk_11;</v>
      </c>
    </row>
    <row r="42" spans="1:10" x14ac:dyDescent="0.25">
      <c r="B42" t="str">
        <f t="shared" si="2"/>
        <v>alter table produk add constraint fk_produk_12 foreign key (idjenisjurnaltarikk) references jenisjurnal (id);</v>
      </c>
      <c r="H42">
        <v>12</v>
      </c>
      <c r="J42" t="str">
        <f t="shared" si="1"/>
        <v>alter table produk DROP FOREIGN KEY fk_produk_12;</v>
      </c>
    </row>
    <row r="43" spans="1:10" x14ac:dyDescent="0.25">
      <c r="B43" t="str">
        <f t="shared" si="2"/>
        <v>alter table produk add constraint fk_produk_13 foreign key (idjenisjurnaltfkeluard) references jenisjurnal (id);</v>
      </c>
      <c r="H43">
        <v>13</v>
      </c>
      <c r="J43" t="str">
        <f t="shared" si="1"/>
        <v>alter table produk DROP FOREIGN KEY fk_produk_13;</v>
      </c>
    </row>
    <row r="44" spans="1:10" x14ac:dyDescent="0.25">
      <c r="B44" t="str">
        <f t="shared" si="2"/>
        <v>alter table produk add constraint fk_produk_14 foreign key (idjenisjurnaltfkeluark) references jenisjurnal (id);</v>
      </c>
      <c r="H44">
        <v>14</v>
      </c>
      <c r="J44" t="str">
        <f t="shared" si="1"/>
        <v>alter table produk DROP FOREIGN KEY fk_produk_14;</v>
      </c>
    </row>
    <row r="45" spans="1:10" x14ac:dyDescent="0.25">
      <c r="B45" t="str">
        <f t="shared" si="2"/>
        <v>alter table produk add constraint fk_produk_15 foreign key (idjenisjurnaltfmasukd) references jenisjurnal (id);</v>
      </c>
      <c r="H45">
        <v>15</v>
      </c>
      <c r="J45" t="str">
        <f t="shared" si="1"/>
        <v>alter table produk DROP FOREIGN KEY fk_produk_15;</v>
      </c>
    </row>
    <row r="46" spans="1:10" x14ac:dyDescent="0.25">
      <c r="B46" t="str">
        <f t="shared" si="2"/>
        <v>alter table produk add constraint fk_produk_16 foreign key (idjenisjurnaltfmasukk) references jenisjurnal (id);</v>
      </c>
      <c r="H46">
        <v>16</v>
      </c>
      <c r="J46" t="str">
        <f t="shared" si="1"/>
        <v>alter table produk DROP FOREIGN KEY fk_produk_16;</v>
      </c>
    </row>
    <row r="48" spans="1:10" s="1" customFormat="1" x14ac:dyDescent="0.25">
      <c r="A48" s="1" t="s">
        <v>4</v>
      </c>
    </row>
    <row r="51" spans="1:13" ht="52.5" x14ac:dyDescent="0.25">
      <c r="A51" s="3" t="s">
        <v>5</v>
      </c>
      <c r="B51" s="3" t="s">
        <v>27</v>
      </c>
      <c r="C51" s="3" t="s">
        <v>7</v>
      </c>
    </row>
    <row r="52" spans="1:13" x14ac:dyDescent="0.25">
      <c r="A52" s="7"/>
      <c r="B52" s="2"/>
      <c r="C52" s="2"/>
    </row>
    <row r="53" spans="1:13" x14ac:dyDescent="0.25">
      <c r="A53" s="7"/>
      <c r="B53" s="2"/>
      <c r="C53" s="2"/>
      <c r="K53" s="8"/>
      <c r="L53" s="8"/>
      <c r="M53" s="8"/>
    </row>
    <row r="54" spans="1:13" x14ac:dyDescent="0.25">
      <c r="A54" s="7"/>
      <c r="B54" s="2"/>
      <c r="C54" s="2"/>
      <c r="H54" s="4"/>
      <c r="I54" s="5"/>
      <c r="K54" s="4"/>
      <c r="L54" s="5"/>
      <c r="M54" s="5"/>
    </row>
    <row r="55" spans="1:13" x14ac:dyDescent="0.25">
      <c r="A55" s="7"/>
      <c r="B55" s="2"/>
      <c r="C55" s="2"/>
      <c r="H55" s="4"/>
      <c r="I55" s="5"/>
      <c r="K55" s="4"/>
      <c r="L55" s="5"/>
      <c r="M55" s="5"/>
    </row>
    <row r="56" spans="1:13" x14ac:dyDescent="0.25">
      <c r="A56" s="7"/>
      <c r="B56" s="2"/>
      <c r="C56" s="2"/>
      <c r="H56" s="4"/>
      <c r="I56" s="5"/>
      <c r="K56" s="4"/>
      <c r="L56" s="5"/>
      <c r="M56" s="5"/>
    </row>
    <row r="57" spans="1:13" x14ac:dyDescent="0.25">
      <c r="A57" s="7"/>
      <c r="B57" s="2"/>
      <c r="C57" s="2"/>
      <c r="H57" s="4"/>
      <c r="I57" s="5"/>
      <c r="K57" s="4"/>
      <c r="L57" s="5"/>
      <c r="M57" s="5"/>
    </row>
    <row r="58" spans="1:13" x14ac:dyDescent="0.25">
      <c r="A58" s="7"/>
      <c r="B58" s="2"/>
      <c r="C58" s="2"/>
      <c r="K58" s="4"/>
      <c r="L58" s="5"/>
      <c r="M58" s="5"/>
    </row>
    <row r="59" spans="1:13" x14ac:dyDescent="0.25">
      <c r="A59" s="6"/>
      <c r="B59" s="6"/>
      <c r="C59" s="6"/>
      <c r="K59" s="4"/>
      <c r="L59" s="5"/>
      <c r="M59" s="5"/>
    </row>
    <row r="60" spans="1:13" x14ac:dyDescent="0.25">
      <c r="A60" s="6"/>
      <c r="B60" s="6"/>
      <c r="C60" s="6"/>
      <c r="K60" s="4"/>
      <c r="L60" s="5"/>
      <c r="M60" s="5"/>
    </row>
    <row r="61" spans="1:13" x14ac:dyDescent="0.25">
      <c r="A61" s="6"/>
      <c r="B61" s="6"/>
      <c r="C61" s="6"/>
    </row>
  </sheetData>
  <pageMargins left="0" right="0" top="0" bottom="0" header="0.31496062992125984" footer="0.31496062992125984"/>
  <pageSetup paperSize="1000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5162-B30C-42EB-84B3-6A058AECEA8E}">
  <dimension ref="A1:M62"/>
  <sheetViews>
    <sheetView zoomScaleNormal="100" workbookViewId="0">
      <selection activeCell="E6" sqref="E6"/>
    </sheetView>
  </sheetViews>
  <sheetFormatPr defaultRowHeight="15" x14ac:dyDescent="0.25"/>
  <cols>
    <col min="1" max="1" width="5.5703125" customWidth="1"/>
    <col min="2" max="2" width="2.7109375" customWidth="1"/>
    <col min="3" max="3" width="34.5703125" customWidth="1"/>
    <col min="4" max="4" width="22.5703125" bestFit="1" customWidth="1"/>
    <col min="6" max="6" width="12.5703125" customWidth="1"/>
  </cols>
  <sheetData>
    <row r="1" spans="1:5" s="1" customFormat="1" x14ac:dyDescent="0.25">
      <c r="A1" s="1" t="s">
        <v>1</v>
      </c>
      <c r="B1" s="1" t="s">
        <v>147</v>
      </c>
    </row>
    <row r="2" spans="1:5" x14ac:dyDescent="0.25">
      <c r="B2" s="25" t="str">
        <f>"create table "&amp;B1&amp;" ("</f>
        <v>create table coa (</v>
      </c>
      <c r="C2" s="25"/>
      <c r="D2" s="25"/>
    </row>
    <row r="3" spans="1:5" x14ac:dyDescent="0.25">
      <c r="B3" s="25"/>
      <c r="C3" s="25" t="s">
        <v>5</v>
      </c>
      <c r="D3" s="25" t="s">
        <v>51</v>
      </c>
    </row>
    <row r="4" spans="1:5" x14ac:dyDescent="0.25">
      <c r="C4" t="s">
        <v>146</v>
      </c>
      <c r="D4" t="s">
        <v>52</v>
      </c>
    </row>
    <row r="5" spans="1:5" x14ac:dyDescent="0.25">
      <c r="C5" t="s">
        <v>166</v>
      </c>
      <c r="D5" t="s">
        <v>167</v>
      </c>
      <c r="E5" t="s">
        <v>168</v>
      </c>
    </row>
    <row r="6" spans="1:5" x14ac:dyDescent="0.25">
      <c r="C6" t="s">
        <v>187</v>
      </c>
      <c r="D6" t="s">
        <v>167</v>
      </c>
    </row>
    <row r="7" spans="1:5" x14ac:dyDescent="0.25">
      <c r="C7" t="s">
        <v>188</v>
      </c>
      <c r="D7" t="s">
        <v>189</v>
      </c>
    </row>
    <row r="8" spans="1:5" x14ac:dyDescent="0.25">
      <c r="C8" t="s">
        <v>49</v>
      </c>
      <c r="D8" t="s">
        <v>330</v>
      </c>
    </row>
    <row r="9" spans="1:5" x14ac:dyDescent="0.25">
      <c r="C9" t="s">
        <v>147</v>
      </c>
      <c r="D9" t="s">
        <v>149</v>
      </c>
    </row>
    <row r="10" spans="1:5" x14ac:dyDescent="0.25">
      <c r="C10" t="s">
        <v>150</v>
      </c>
      <c r="D10" t="s">
        <v>71</v>
      </c>
    </row>
    <row r="11" spans="1:5" x14ac:dyDescent="0.25">
      <c r="C11" t="s">
        <v>151</v>
      </c>
      <c r="D11" t="s">
        <v>71</v>
      </c>
    </row>
    <row r="12" spans="1:5" x14ac:dyDescent="0.25">
      <c r="C12" t="s">
        <v>7</v>
      </c>
      <c r="D12" t="s">
        <v>29</v>
      </c>
    </row>
    <row r="13" spans="1:5" x14ac:dyDescent="0.25">
      <c r="B13" t="s">
        <v>0</v>
      </c>
    </row>
    <row r="15" spans="1:5" s="1" customFormat="1" x14ac:dyDescent="0.25">
      <c r="A15" s="1" t="s">
        <v>2</v>
      </c>
    </row>
    <row r="16" spans="1:5" x14ac:dyDescent="0.25">
      <c r="B16" t="str">
        <f>"alter table "&amp;B1&amp;" add constraint pk_"&amp;B1&amp;" primary key (id);"</f>
        <v>alter table coa add constraint pk_coa primary key (id);</v>
      </c>
    </row>
    <row r="18" spans="1:2" s="1" customFormat="1" x14ac:dyDescent="0.25">
      <c r="A18" s="1" t="s">
        <v>3</v>
      </c>
    </row>
    <row r="19" spans="1:2" x14ac:dyDescent="0.25">
      <c r="B19" t="s">
        <v>148</v>
      </c>
    </row>
    <row r="20" spans="1:2" x14ac:dyDescent="0.25">
      <c r="B20" t="s">
        <v>174</v>
      </c>
    </row>
    <row r="22" spans="1:2" s="1" customFormat="1" x14ac:dyDescent="0.25">
      <c r="A22" s="1" t="s">
        <v>6</v>
      </c>
    </row>
    <row r="23" spans="1:2" x14ac:dyDescent="0.25">
      <c r="B23" t="s">
        <v>175</v>
      </c>
    </row>
    <row r="49" spans="1:13" s="1" customFormat="1" x14ac:dyDescent="0.25">
      <c r="A49" s="1" t="s">
        <v>4</v>
      </c>
    </row>
    <row r="52" spans="1:13" ht="52.5" x14ac:dyDescent="0.25">
      <c r="A52" s="3" t="s">
        <v>5</v>
      </c>
      <c r="B52" s="3" t="s">
        <v>27</v>
      </c>
      <c r="C52" s="3" t="s">
        <v>7</v>
      </c>
    </row>
    <row r="53" spans="1:13" x14ac:dyDescent="0.25">
      <c r="A53" s="7"/>
      <c r="B53" s="2"/>
      <c r="C53" s="2"/>
    </row>
    <row r="54" spans="1:13" x14ac:dyDescent="0.25">
      <c r="A54" s="7"/>
      <c r="B54" s="2"/>
      <c r="C54" s="2"/>
      <c r="K54" s="8"/>
      <c r="L54" s="8"/>
      <c r="M54" s="8"/>
    </row>
    <row r="55" spans="1:13" x14ac:dyDescent="0.25">
      <c r="A55" s="7"/>
      <c r="B55" s="2"/>
      <c r="C55" s="2"/>
      <c r="H55" s="4"/>
      <c r="I55" s="5"/>
      <c r="K55" s="4"/>
      <c r="L55" s="5"/>
      <c r="M55" s="5"/>
    </row>
    <row r="56" spans="1:13" x14ac:dyDescent="0.25">
      <c r="A56" s="7"/>
      <c r="B56" s="2"/>
      <c r="C56" s="2"/>
      <c r="H56" s="4"/>
      <c r="I56" s="5"/>
      <c r="K56" s="4"/>
      <c r="L56" s="5"/>
      <c r="M56" s="5"/>
    </row>
    <row r="57" spans="1:13" x14ac:dyDescent="0.25">
      <c r="A57" s="7"/>
      <c r="B57" s="2"/>
      <c r="C57" s="2"/>
      <c r="H57" s="4"/>
      <c r="I57" s="5"/>
      <c r="K57" s="4"/>
      <c r="L57" s="5"/>
      <c r="M57" s="5"/>
    </row>
    <row r="58" spans="1:13" x14ac:dyDescent="0.25">
      <c r="A58" s="7"/>
      <c r="B58" s="2"/>
      <c r="C58" s="2"/>
      <c r="H58" s="4"/>
      <c r="I58" s="5"/>
      <c r="K58" s="4"/>
      <c r="L58" s="5"/>
      <c r="M58" s="5"/>
    </row>
    <row r="59" spans="1:13" x14ac:dyDescent="0.25">
      <c r="A59" s="7"/>
      <c r="B59" s="2"/>
      <c r="C59" s="2"/>
      <c r="K59" s="4"/>
      <c r="L59" s="5"/>
      <c r="M59" s="5"/>
    </row>
    <row r="60" spans="1:13" x14ac:dyDescent="0.25">
      <c r="A60" s="6"/>
      <c r="B60" s="6"/>
      <c r="C60" s="6"/>
      <c r="K60" s="4"/>
      <c r="L60" s="5"/>
      <c r="M60" s="5"/>
    </row>
    <row r="61" spans="1:13" x14ac:dyDescent="0.25">
      <c r="A61" s="6"/>
      <c r="B61" s="6"/>
      <c r="C61" s="6"/>
      <c r="K61" s="4"/>
      <c r="L61" s="5"/>
      <c r="M61" s="5"/>
    </row>
    <row r="62" spans="1:13" x14ac:dyDescent="0.25">
      <c r="A62" s="6"/>
      <c r="B62" s="6"/>
      <c r="C62" s="6"/>
    </row>
  </sheetData>
  <pageMargins left="0" right="0" top="0" bottom="0" header="0.31496062992125984" footer="0.31496062992125984"/>
  <pageSetup paperSize="1000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477C-2481-40E2-B6FE-D0E30DAC6E50}">
  <dimension ref="A1:M61"/>
  <sheetViews>
    <sheetView zoomScaleNormal="100" workbookViewId="0">
      <selection activeCell="C5" sqref="C5:D6"/>
    </sheetView>
  </sheetViews>
  <sheetFormatPr defaultRowHeight="15" x14ac:dyDescent="0.25"/>
  <cols>
    <col min="1" max="1" width="5.5703125" customWidth="1"/>
    <col min="2" max="2" width="2.7109375" customWidth="1"/>
    <col min="3" max="3" width="14.140625" bestFit="1" customWidth="1"/>
    <col min="4" max="4" width="22.5703125" bestFit="1" customWidth="1"/>
    <col min="5" max="5" width="18.42578125" bestFit="1" customWidth="1"/>
    <col min="6" max="6" width="45.5703125" bestFit="1" customWidth="1"/>
  </cols>
  <sheetData>
    <row r="1" spans="1:6" s="1" customFormat="1" x14ac:dyDescent="0.25">
      <c r="A1" s="1" t="s">
        <v>1</v>
      </c>
      <c r="B1" s="1" t="s">
        <v>264</v>
      </c>
      <c r="E1" s="26" t="s">
        <v>61</v>
      </c>
      <c r="F1" s="26" t="s">
        <v>63</v>
      </c>
    </row>
    <row r="2" spans="1:6" x14ac:dyDescent="0.25">
      <c r="B2" s="25" t="str">
        <f>"create table "&amp;B1&amp;" ("</f>
        <v>create table tsetor (</v>
      </c>
      <c r="C2" s="25"/>
      <c r="D2" s="25"/>
      <c r="E2" s="27"/>
      <c r="F2" s="27"/>
    </row>
    <row r="3" spans="1:6" x14ac:dyDescent="0.25">
      <c r="B3" s="25"/>
      <c r="C3" s="25" t="s">
        <v>5</v>
      </c>
      <c r="D3" s="25" t="s">
        <v>51</v>
      </c>
      <c r="E3" s="27">
        <v>1</v>
      </c>
      <c r="F3" s="27"/>
    </row>
    <row r="4" spans="1:6" x14ac:dyDescent="0.25">
      <c r="C4" t="s">
        <v>201</v>
      </c>
      <c r="D4" t="s">
        <v>52</v>
      </c>
      <c r="E4" s="27">
        <v>9</v>
      </c>
      <c r="F4" s="27"/>
    </row>
    <row r="5" spans="1:6" x14ac:dyDescent="0.25">
      <c r="C5" t="s">
        <v>284</v>
      </c>
      <c r="D5" t="s">
        <v>77</v>
      </c>
      <c r="E5" s="27"/>
      <c r="F5" s="27"/>
    </row>
    <row r="6" spans="1:6" x14ac:dyDescent="0.25">
      <c r="C6" t="s">
        <v>285</v>
      </c>
      <c r="D6" t="s">
        <v>77</v>
      </c>
      <c r="E6" s="27"/>
      <c r="F6" s="27"/>
    </row>
    <row r="7" spans="1:6" x14ac:dyDescent="0.25">
      <c r="C7" t="s">
        <v>56</v>
      </c>
      <c r="D7" t="s">
        <v>30</v>
      </c>
      <c r="E7" s="28" t="s">
        <v>62</v>
      </c>
      <c r="F7" s="27"/>
    </row>
    <row r="8" spans="1:6" x14ac:dyDescent="0.25">
      <c r="C8" t="s">
        <v>78</v>
      </c>
      <c r="D8" t="s">
        <v>55</v>
      </c>
      <c r="E8" s="27">
        <v>5</v>
      </c>
      <c r="F8" s="27"/>
    </row>
    <row r="9" spans="1:6" x14ac:dyDescent="0.25">
      <c r="C9" t="s">
        <v>79</v>
      </c>
      <c r="D9" t="s">
        <v>64</v>
      </c>
      <c r="E9" s="27" t="s">
        <v>205</v>
      </c>
      <c r="F9" s="27" t="s">
        <v>65</v>
      </c>
    </row>
    <row r="10" spans="1:6" x14ac:dyDescent="0.25">
      <c r="C10" t="s">
        <v>58</v>
      </c>
      <c r="D10" t="s">
        <v>71</v>
      </c>
      <c r="E10" s="27">
        <v>10000</v>
      </c>
      <c r="F10" s="27" t="s">
        <v>265</v>
      </c>
    </row>
    <row r="11" spans="1:6" x14ac:dyDescent="0.25">
      <c r="C11" t="s">
        <v>59</v>
      </c>
      <c r="D11" t="s">
        <v>30</v>
      </c>
      <c r="E11" s="28" t="s">
        <v>62</v>
      </c>
      <c r="F11" s="27"/>
    </row>
    <row r="12" spans="1:6" x14ac:dyDescent="0.25">
      <c r="C12" t="s">
        <v>60</v>
      </c>
      <c r="D12" t="s">
        <v>64</v>
      </c>
      <c r="E12" s="27" t="s">
        <v>67</v>
      </c>
      <c r="F12" s="27"/>
    </row>
    <row r="13" spans="1:6" x14ac:dyDescent="0.25">
      <c r="C13" t="s">
        <v>7</v>
      </c>
      <c r="D13" t="s">
        <v>57</v>
      </c>
      <c r="E13" s="27"/>
      <c r="F13" s="27"/>
    </row>
    <row r="14" spans="1:6" x14ac:dyDescent="0.25">
      <c r="B14" t="s">
        <v>0</v>
      </c>
      <c r="E14" s="27"/>
      <c r="F14" s="27"/>
    </row>
    <row r="16" spans="1:6" s="1" customFormat="1" x14ac:dyDescent="0.25">
      <c r="A16" s="1" t="s">
        <v>2</v>
      </c>
    </row>
    <row r="17" spans="1:2" x14ac:dyDescent="0.25">
      <c r="B17" t="str">
        <f>"alter table "&amp;B1&amp;" add constraint pk_"&amp;B1&amp;" primary key (id);"</f>
        <v>alter table tsetor add constraint pk_tsetor primary key (id);</v>
      </c>
    </row>
    <row r="19" spans="1:2" s="1" customFormat="1" x14ac:dyDescent="0.25">
      <c r="A19" s="1" t="s">
        <v>3</v>
      </c>
    </row>
    <row r="20" spans="1:2" x14ac:dyDescent="0.25">
      <c r="B20" t="s">
        <v>266</v>
      </c>
    </row>
    <row r="22" spans="1:2" s="1" customFormat="1" x14ac:dyDescent="0.25">
      <c r="A22" s="1" t="s">
        <v>6</v>
      </c>
    </row>
    <row r="23" spans="1:2" x14ac:dyDescent="0.25">
      <c r="B23" t="s">
        <v>267</v>
      </c>
    </row>
    <row r="48" spans="1:1" s="1" customFormat="1" x14ac:dyDescent="0.25">
      <c r="A48" s="1" t="s">
        <v>4</v>
      </c>
    </row>
    <row r="51" spans="1:13" ht="52.5" x14ac:dyDescent="0.25">
      <c r="A51" s="3" t="s">
        <v>5</v>
      </c>
      <c r="B51" s="3" t="s">
        <v>27</v>
      </c>
      <c r="C51" s="3" t="s">
        <v>7</v>
      </c>
    </row>
    <row r="52" spans="1:13" x14ac:dyDescent="0.25">
      <c r="A52" s="7"/>
      <c r="B52" s="2"/>
      <c r="C52" s="2"/>
    </row>
    <row r="53" spans="1:13" x14ac:dyDescent="0.25">
      <c r="A53" s="7"/>
      <c r="B53" s="2"/>
      <c r="C53" s="2"/>
      <c r="K53" s="8"/>
      <c r="L53" s="8"/>
      <c r="M53" s="8"/>
    </row>
    <row r="54" spans="1:13" x14ac:dyDescent="0.25">
      <c r="A54" s="7"/>
      <c r="B54" s="2"/>
      <c r="C54" s="2"/>
      <c r="H54" s="4"/>
      <c r="I54" s="5"/>
      <c r="K54" s="4"/>
      <c r="L54" s="5"/>
      <c r="M54" s="5"/>
    </row>
    <row r="55" spans="1:13" x14ac:dyDescent="0.25">
      <c r="A55" s="7"/>
      <c r="B55" s="2"/>
      <c r="C55" s="2"/>
      <c r="H55" s="4"/>
      <c r="I55" s="5"/>
      <c r="K55" s="4"/>
      <c r="L55" s="5"/>
      <c r="M55" s="5"/>
    </row>
    <row r="56" spans="1:13" x14ac:dyDescent="0.25">
      <c r="A56" s="7"/>
      <c r="B56" s="2"/>
      <c r="C56" s="2"/>
      <c r="H56" s="4"/>
      <c r="I56" s="5"/>
      <c r="K56" s="4"/>
      <c r="L56" s="5"/>
      <c r="M56" s="5"/>
    </row>
    <row r="57" spans="1:13" x14ac:dyDescent="0.25">
      <c r="A57" s="7"/>
      <c r="B57" s="2"/>
      <c r="C57" s="2"/>
      <c r="H57" s="4"/>
      <c r="I57" s="5"/>
      <c r="K57" s="4"/>
      <c r="L57" s="5"/>
      <c r="M57" s="5"/>
    </row>
    <row r="58" spans="1:13" x14ac:dyDescent="0.25">
      <c r="A58" s="7"/>
      <c r="B58" s="2"/>
      <c r="C58" s="2"/>
      <c r="K58" s="4"/>
      <c r="L58" s="5"/>
      <c r="M58" s="5"/>
    </row>
    <row r="59" spans="1:13" x14ac:dyDescent="0.25">
      <c r="A59" s="6"/>
      <c r="B59" s="6"/>
      <c r="C59" s="6"/>
      <c r="K59" s="4"/>
      <c r="L59" s="5"/>
      <c r="M59" s="5"/>
    </row>
    <row r="60" spans="1:13" x14ac:dyDescent="0.25">
      <c r="A60" s="6"/>
      <c r="B60" s="6"/>
      <c r="C60" s="6"/>
      <c r="K60" s="4"/>
      <c r="L60" s="5"/>
      <c r="M60" s="5"/>
    </row>
    <row r="61" spans="1:13" x14ac:dyDescent="0.25">
      <c r="A61" s="6"/>
      <c r="B61" s="6"/>
      <c r="C61" s="6"/>
    </row>
  </sheetData>
  <pageMargins left="0" right="0" top="0" bottom="0" header="0.31496062992125984" footer="0.31496062992125984"/>
  <pageSetup paperSize="1000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096D-D100-4AF1-AD98-37D2F7843A96}">
  <dimension ref="A1:M61"/>
  <sheetViews>
    <sheetView zoomScaleNormal="100" workbookViewId="0">
      <selection activeCell="H4" sqref="H4"/>
    </sheetView>
  </sheetViews>
  <sheetFormatPr defaultRowHeight="15" x14ac:dyDescent="0.25"/>
  <cols>
    <col min="1" max="1" width="5.5703125" customWidth="1"/>
    <col min="2" max="2" width="2.7109375" customWidth="1"/>
    <col min="3" max="3" width="14.140625" bestFit="1" customWidth="1"/>
    <col min="4" max="4" width="22.5703125" bestFit="1" customWidth="1"/>
    <col min="5" max="5" width="18.42578125" bestFit="1" customWidth="1"/>
    <col min="6" max="6" width="45.5703125" bestFit="1" customWidth="1"/>
  </cols>
  <sheetData>
    <row r="1" spans="1:6" s="1" customFormat="1" x14ac:dyDescent="0.25">
      <c r="A1" s="1" t="s">
        <v>1</v>
      </c>
      <c r="B1" s="1" t="s">
        <v>280</v>
      </c>
      <c r="E1" s="26" t="s">
        <v>61</v>
      </c>
      <c r="F1" s="26" t="s">
        <v>63</v>
      </c>
    </row>
    <row r="2" spans="1:6" x14ac:dyDescent="0.25">
      <c r="B2" s="25" t="str">
        <f>"create table "&amp;B1&amp;" ("</f>
        <v>create table ttarik (</v>
      </c>
      <c r="C2" s="25"/>
      <c r="D2" s="25"/>
      <c r="E2" s="27"/>
      <c r="F2" s="27"/>
    </row>
    <row r="3" spans="1:6" x14ac:dyDescent="0.25">
      <c r="B3" s="25"/>
      <c r="C3" s="25" t="s">
        <v>5</v>
      </c>
      <c r="D3" s="25" t="s">
        <v>51</v>
      </c>
      <c r="E3" s="27">
        <v>1</v>
      </c>
      <c r="F3" s="27"/>
    </row>
    <row r="4" spans="1:6" x14ac:dyDescent="0.25">
      <c r="C4" t="s">
        <v>201</v>
      </c>
      <c r="D4" t="s">
        <v>52</v>
      </c>
      <c r="E4" s="27">
        <v>9</v>
      </c>
      <c r="F4" s="27"/>
    </row>
    <row r="5" spans="1:6" x14ac:dyDescent="0.25">
      <c r="C5" t="s">
        <v>284</v>
      </c>
      <c r="D5" t="s">
        <v>77</v>
      </c>
      <c r="E5" s="27"/>
      <c r="F5" s="27"/>
    </row>
    <row r="6" spans="1:6" x14ac:dyDescent="0.25">
      <c r="C6" t="s">
        <v>285</v>
      </c>
      <c r="D6" t="s">
        <v>77</v>
      </c>
      <c r="E6" s="27"/>
      <c r="F6" s="27"/>
    </row>
    <row r="7" spans="1:6" x14ac:dyDescent="0.25">
      <c r="C7" t="s">
        <v>56</v>
      </c>
      <c r="D7" t="s">
        <v>30</v>
      </c>
      <c r="E7" s="28" t="s">
        <v>62</v>
      </c>
      <c r="F7" s="27"/>
    </row>
    <row r="8" spans="1:6" x14ac:dyDescent="0.25">
      <c r="C8" t="s">
        <v>78</v>
      </c>
      <c r="D8" t="s">
        <v>55</v>
      </c>
      <c r="E8" s="27">
        <v>5</v>
      </c>
      <c r="F8" s="27"/>
    </row>
    <row r="9" spans="1:6" x14ac:dyDescent="0.25">
      <c r="C9" t="s">
        <v>79</v>
      </c>
      <c r="D9" t="s">
        <v>64</v>
      </c>
      <c r="E9" s="27" t="s">
        <v>205</v>
      </c>
      <c r="F9" s="27" t="s">
        <v>65</v>
      </c>
    </row>
    <row r="10" spans="1:6" x14ac:dyDescent="0.25">
      <c r="C10" t="s">
        <v>58</v>
      </c>
      <c r="D10" t="s">
        <v>71</v>
      </c>
      <c r="E10" s="27">
        <v>10000</v>
      </c>
      <c r="F10" s="27" t="s">
        <v>281</v>
      </c>
    </row>
    <row r="11" spans="1:6" x14ac:dyDescent="0.25">
      <c r="C11" t="s">
        <v>59</v>
      </c>
      <c r="D11" t="s">
        <v>30</v>
      </c>
      <c r="E11" s="28" t="s">
        <v>62</v>
      </c>
      <c r="F11" s="27"/>
    </row>
    <row r="12" spans="1:6" x14ac:dyDescent="0.25">
      <c r="C12" t="s">
        <v>60</v>
      </c>
      <c r="D12" t="s">
        <v>64</v>
      </c>
      <c r="E12" s="27" t="s">
        <v>67</v>
      </c>
      <c r="F12" s="27"/>
    </row>
    <row r="13" spans="1:6" x14ac:dyDescent="0.25">
      <c r="C13" t="s">
        <v>7</v>
      </c>
      <c r="D13" t="s">
        <v>57</v>
      </c>
      <c r="E13" s="27"/>
      <c r="F13" s="27"/>
    </row>
    <row r="14" spans="1:6" x14ac:dyDescent="0.25">
      <c r="B14" t="s">
        <v>0</v>
      </c>
      <c r="E14" s="27"/>
      <c r="F14" s="27"/>
    </row>
    <row r="16" spans="1:6" s="1" customFormat="1" x14ac:dyDescent="0.25">
      <c r="A16" s="1" t="s">
        <v>2</v>
      </c>
    </row>
    <row r="17" spans="1:2" x14ac:dyDescent="0.25">
      <c r="B17" t="str">
        <f>"alter table "&amp;B1&amp;" add constraint pk_"&amp;B1&amp;" primary key (id);"</f>
        <v>alter table ttarik add constraint pk_ttarik primary key (id);</v>
      </c>
    </row>
    <row r="19" spans="1:2" s="1" customFormat="1" x14ac:dyDescent="0.25">
      <c r="A19" s="1" t="s">
        <v>3</v>
      </c>
    </row>
    <row r="20" spans="1:2" x14ac:dyDescent="0.25">
      <c r="B20" t="s">
        <v>282</v>
      </c>
    </row>
    <row r="22" spans="1:2" s="1" customFormat="1" x14ac:dyDescent="0.25">
      <c r="A22" s="1" t="s">
        <v>6</v>
      </c>
    </row>
    <row r="23" spans="1:2" x14ac:dyDescent="0.25">
      <c r="B23" t="s">
        <v>283</v>
      </c>
    </row>
    <row r="48" spans="1:1" s="1" customFormat="1" x14ac:dyDescent="0.25">
      <c r="A48" s="1" t="s">
        <v>4</v>
      </c>
    </row>
    <row r="51" spans="1:13" ht="52.5" x14ac:dyDescent="0.25">
      <c r="A51" s="3" t="s">
        <v>5</v>
      </c>
      <c r="B51" s="3" t="s">
        <v>27</v>
      </c>
      <c r="C51" s="3" t="s">
        <v>7</v>
      </c>
    </row>
    <row r="52" spans="1:13" x14ac:dyDescent="0.25">
      <c r="A52" s="7"/>
      <c r="B52" s="2"/>
      <c r="C52" s="2"/>
    </row>
    <row r="53" spans="1:13" x14ac:dyDescent="0.25">
      <c r="A53" s="7"/>
      <c r="B53" s="2"/>
      <c r="C53" s="2"/>
      <c r="K53" s="8"/>
      <c r="L53" s="8"/>
      <c r="M53" s="8"/>
    </row>
    <row r="54" spans="1:13" x14ac:dyDescent="0.25">
      <c r="A54" s="7"/>
      <c r="B54" s="2"/>
      <c r="C54" s="2"/>
      <c r="H54" s="4"/>
      <c r="I54" s="5"/>
      <c r="K54" s="4"/>
      <c r="L54" s="5"/>
      <c r="M54" s="5"/>
    </row>
    <row r="55" spans="1:13" x14ac:dyDescent="0.25">
      <c r="A55" s="7"/>
      <c r="B55" s="2"/>
      <c r="C55" s="2"/>
      <c r="H55" s="4"/>
      <c r="I55" s="5"/>
      <c r="K55" s="4"/>
      <c r="L55" s="5"/>
      <c r="M55" s="5"/>
    </row>
    <row r="56" spans="1:13" x14ac:dyDescent="0.25">
      <c r="A56" s="7"/>
      <c r="B56" s="2"/>
      <c r="C56" s="2"/>
      <c r="H56" s="4"/>
      <c r="I56" s="5"/>
      <c r="K56" s="4"/>
      <c r="L56" s="5"/>
      <c r="M56" s="5"/>
    </row>
    <row r="57" spans="1:13" x14ac:dyDescent="0.25">
      <c r="A57" s="7"/>
      <c r="B57" s="2"/>
      <c r="C57" s="2"/>
      <c r="H57" s="4"/>
      <c r="I57" s="5"/>
      <c r="K57" s="4"/>
      <c r="L57" s="5"/>
      <c r="M57" s="5"/>
    </row>
    <row r="58" spans="1:13" x14ac:dyDescent="0.25">
      <c r="A58" s="7"/>
      <c r="B58" s="2"/>
      <c r="C58" s="2"/>
      <c r="K58" s="4"/>
      <c r="L58" s="5"/>
      <c r="M58" s="5"/>
    </row>
    <row r="59" spans="1:13" x14ac:dyDescent="0.25">
      <c r="A59" s="6"/>
      <c r="B59" s="6"/>
      <c r="C59" s="6"/>
      <c r="K59" s="4"/>
      <c r="L59" s="5"/>
      <c r="M59" s="5"/>
    </row>
    <row r="60" spans="1:13" x14ac:dyDescent="0.25">
      <c r="A60" s="6"/>
      <c r="B60" s="6"/>
      <c r="C60" s="6"/>
      <c r="K60" s="4"/>
      <c r="L60" s="5"/>
      <c r="M60" s="5"/>
    </row>
    <row r="61" spans="1:13" x14ac:dyDescent="0.25">
      <c r="A61" s="6"/>
      <c r="B61" s="6"/>
      <c r="C61" s="6"/>
    </row>
  </sheetData>
  <pageMargins left="0" right="0" top="0" bottom="0" header="0.31496062992125984" footer="0.31496062992125984"/>
  <pageSetup paperSize="10000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5B1B-5BC2-41BE-95E5-68175DA5FF2C}">
  <dimension ref="A1:M62"/>
  <sheetViews>
    <sheetView topLeftCell="A10" zoomScaleNormal="100" workbookViewId="0">
      <selection activeCell="B25" sqref="B25"/>
    </sheetView>
  </sheetViews>
  <sheetFormatPr defaultRowHeight="15" x14ac:dyDescent="0.25"/>
  <cols>
    <col min="1" max="1" width="5.5703125" customWidth="1"/>
    <col min="2" max="2" width="2.7109375" customWidth="1"/>
    <col min="3" max="3" width="14.140625" bestFit="1" customWidth="1"/>
    <col min="4" max="4" width="22.5703125" bestFit="1" customWidth="1"/>
    <col min="5" max="5" width="18.42578125" bestFit="1" customWidth="1"/>
    <col min="6" max="6" width="45.5703125" bestFit="1" customWidth="1"/>
  </cols>
  <sheetData>
    <row r="1" spans="1:6" s="1" customFormat="1" x14ac:dyDescent="0.25">
      <c r="A1" s="1" t="s">
        <v>1</v>
      </c>
      <c r="B1" s="1" t="s">
        <v>286</v>
      </c>
      <c r="E1" s="26" t="s">
        <v>61</v>
      </c>
      <c r="F1" s="26" t="s">
        <v>63</v>
      </c>
    </row>
    <row r="2" spans="1:6" x14ac:dyDescent="0.25">
      <c r="B2" s="25" t="str">
        <f>"create table "&amp;B1&amp;" ("</f>
        <v>create table tfkeluar (</v>
      </c>
      <c r="C2" s="25"/>
      <c r="D2" s="25"/>
      <c r="E2" s="27"/>
      <c r="F2" s="27"/>
    </row>
    <row r="3" spans="1:6" x14ac:dyDescent="0.25">
      <c r="B3" s="25"/>
      <c r="C3" s="25" t="s">
        <v>5</v>
      </c>
      <c r="D3" s="25" t="s">
        <v>51</v>
      </c>
      <c r="E3" s="27">
        <v>1</v>
      </c>
      <c r="F3" s="27"/>
    </row>
    <row r="4" spans="1:6" x14ac:dyDescent="0.25">
      <c r="C4" t="s">
        <v>201</v>
      </c>
      <c r="D4" t="s">
        <v>52</v>
      </c>
      <c r="E4" s="27">
        <v>9</v>
      </c>
      <c r="F4" s="27"/>
    </row>
    <row r="5" spans="1:6" x14ac:dyDescent="0.25">
      <c r="C5" t="s">
        <v>289</v>
      </c>
      <c r="D5" t="s">
        <v>52</v>
      </c>
      <c r="E5" s="27">
        <v>9</v>
      </c>
      <c r="F5" s="27" t="s">
        <v>306</v>
      </c>
    </row>
    <row r="6" spans="1:6" x14ac:dyDescent="0.25">
      <c r="C6" t="s">
        <v>284</v>
      </c>
      <c r="D6" t="s">
        <v>77</v>
      </c>
      <c r="E6" s="27"/>
      <c r="F6" s="27"/>
    </row>
    <row r="7" spans="1:6" x14ac:dyDescent="0.25">
      <c r="C7" t="s">
        <v>285</v>
      </c>
      <c r="D7" t="s">
        <v>77</v>
      </c>
      <c r="E7" s="27"/>
      <c r="F7" s="27"/>
    </row>
    <row r="8" spans="1:6" x14ac:dyDescent="0.25">
      <c r="C8" t="s">
        <v>56</v>
      </c>
      <c r="D8" t="s">
        <v>30</v>
      </c>
      <c r="E8" s="28" t="s">
        <v>62</v>
      </c>
      <c r="F8" s="27"/>
    </row>
    <row r="9" spans="1:6" x14ac:dyDescent="0.25">
      <c r="C9" t="s">
        <v>78</v>
      </c>
      <c r="D9" t="s">
        <v>55</v>
      </c>
      <c r="E9" s="27">
        <v>5</v>
      </c>
      <c r="F9" s="27"/>
    </row>
    <row r="10" spans="1:6" x14ac:dyDescent="0.25">
      <c r="C10" t="s">
        <v>79</v>
      </c>
      <c r="D10" t="s">
        <v>64</v>
      </c>
      <c r="E10" s="27" t="s">
        <v>205</v>
      </c>
      <c r="F10" s="27" t="s">
        <v>65</v>
      </c>
    </row>
    <row r="11" spans="1:6" x14ac:dyDescent="0.25">
      <c r="C11" t="s">
        <v>58</v>
      </c>
      <c r="D11" t="s">
        <v>71</v>
      </c>
      <c r="E11" s="27">
        <v>10000</v>
      </c>
      <c r="F11" s="27" t="s">
        <v>310</v>
      </c>
    </row>
    <row r="12" spans="1:6" x14ac:dyDescent="0.25">
      <c r="C12" t="s">
        <v>59</v>
      </c>
      <c r="D12" t="s">
        <v>30</v>
      </c>
      <c r="E12" s="28" t="s">
        <v>62</v>
      </c>
      <c r="F12" s="27"/>
    </row>
    <row r="13" spans="1:6" x14ac:dyDescent="0.25">
      <c r="C13" t="s">
        <v>60</v>
      </c>
      <c r="D13" t="s">
        <v>64</v>
      </c>
      <c r="E13" s="27" t="s">
        <v>67</v>
      </c>
      <c r="F13" s="27"/>
    </row>
    <row r="14" spans="1:6" x14ac:dyDescent="0.25">
      <c r="C14" t="s">
        <v>7</v>
      </c>
      <c r="D14" t="s">
        <v>57</v>
      </c>
      <c r="E14" s="27"/>
      <c r="F14" s="27"/>
    </row>
    <row r="15" spans="1:6" x14ac:dyDescent="0.25">
      <c r="B15" t="s">
        <v>0</v>
      </c>
      <c r="E15" s="27"/>
      <c r="F15" s="27"/>
    </row>
    <row r="17" spans="1:2" s="1" customFormat="1" x14ac:dyDescent="0.25">
      <c r="A17" s="1" t="s">
        <v>2</v>
      </c>
    </row>
    <row r="18" spans="1:2" x14ac:dyDescent="0.25">
      <c r="B18" t="str">
        <f>"alter table "&amp;B1&amp;" add constraint pk_"&amp;B1&amp;" primary key (id);"</f>
        <v>alter table tfkeluar add constraint pk_tfkeluar primary key (id);</v>
      </c>
    </row>
    <row r="20" spans="1:2" s="1" customFormat="1" x14ac:dyDescent="0.25">
      <c r="A20" s="1" t="s">
        <v>3</v>
      </c>
    </row>
    <row r="21" spans="1:2" x14ac:dyDescent="0.25">
      <c r="B21" t="s">
        <v>287</v>
      </c>
    </row>
    <row r="23" spans="1:2" s="1" customFormat="1" x14ac:dyDescent="0.25">
      <c r="A23" s="1" t="s">
        <v>6</v>
      </c>
    </row>
    <row r="24" spans="1:2" x14ac:dyDescent="0.25">
      <c r="B24" t="s">
        <v>288</v>
      </c>
    </row>
    <row r="25" spans="1:2" x14ac:dyDescent="0.25">
      <c r="B25" t="s">
        <v>290</v>
      </c>
    </row>
    <row r="49" spans="1:13" s="1" customFormat="1" x14ac:dyDescent="0.25">
      <c r="A49" s="1" t="s">
        <v>4</v>
      </c>
    </row>
    <row r="52" spans="1:13" ht="52.5" x14ac:dyDescent="0.25">
      <c r="A52" s="3" t="s">
        <v>5</v>
      </c>
      <c r="B52" s="3" t="s">
        <v>27</v>
      </c>
      <c r="C52" s="3" t="s">
        <v>7</v>
      </c>
    </row>
    <row r="53" spans="1:13" x14ac:dyDescent="0.25">
      <c r="A53" s="7"/>
      <c r="B53" s="2"/>
      <c r="C53" s="2"/>
    </row>
    <row r="54" spans="1:13" x14ac:dyDescent="0.25">
      <c r="A54" s="7"/>
      <c r="B54" s="2"/>
      <c r="C54" s="2"/>
      <c r="K54" s="8"/>
      <c r="L54" s="8"/>
      <c r="M54" s="8"/>
    </row>
    <row r="55" spans="1:13" x14ac:dyDescent="0.25">
      <c r="A55" s="7"/>
      <c r="B55" s="2"/>
      <c r="C55" s="2"/>
      <c r="H55" s="4"/>
      <c r="I55" s="5"/>
      <c r="K55" s="4"/>
      <c r="L55" s="5"/>
      <c r="M55" s="5"/>
    </row>
    <row r="56" spans="1:13" x14ac:dyDescent="0.25">
      <c r="A56" s="7"/>
      <c r="B56" s="2"/>
      <c r="C56" s="2"/>
      <c r="H56" s="4"/>
      <c r="I56" s="5"/>
      <c r="K56" s="4"/>
      <c r="L56" s="5"/>
      <c r="M56" s="5"/>
    </row>
    <row r="57" spans="1:13" x14ac:dyDescent="0.25">
      <c r="A57" s="7"/>
      <c r="B57" s="2"/>
      <c r="C57" s="2"/>
      <c r="H57" s="4"/>
      <c r="I57" s="5"/>
      <c r="K57" s="4"/>
      <c r="L57" s="5"/>
      <c r="M57" s="5"/>
    </row>
    <row r="58" spans="1:13" x14ac:dyDescent="0.25">
      <c r="A58" s="7"/>
      <c r="B58" s="2"/>
      <c r="C58" s="2"/>
      <c r="H58" s="4"/>
      <c r="I58" s="5"/>
      <c r="K58" s="4"/>
      <c r="L58" s="5"/>
      <c r="M58" s="5"/>
    </row>
    <row r="59" spans="1:13" x14ac:dyDescent="0.25">
      <c r="A59" s="7"/>
      <c r="B59" s="2"/>
      <c r="C59" s="2"/>
      <c r="K59" s="4"/>
      <c r="L59" s="5"/>
      <c r="M59" s="5"/>
    </row>
    <row r="60" spans="1:13" x14ac:dyDescent="0.25">
      <c r="A60" s="6"/>
      <c r="B60" s="6"/>
      <c r="C60" s="6"/>
      <c r="K60" s="4"/>
      <c r="L60" s="5"/>
      <c r="M60" s="5"/>
    </row>
    <row r="61" spans="1:13" x14ac:dyDescent="0.25">
      <c r="A61" s="6"/>
      <c r="B61" s="6"/>
      <c r="C61" s="6"/>
      <c r="K61" s="4"/>
      <c r="L61" s="5"/>
      <c r="M61" s="5"/>
    </row>
    <row r="62" spans="1:13" x14ac:dyDescent="0.25">
      <c r="A62" s="6"/>
      <c r="B62" s="6"/>
      <c r="C62" s="6"/>
    </row>
  </sheetData>
  <pageMargins left="0" right="0" top="0" bottom="0" header="0.31496062992125984" footer="0.31496062992125984"/>
  <pageSetup paperSize="10000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59B67-2369-4E66-96D8-AE055D4129CB}">
  <dimension ref="A1:M63"/>
  <sheetViews>
    <sheetView topLeftCell="A13" zoomScaleNormal="100" workbookViewId="0">
      <selection activeCell="F23" sqref="F23"/>
    </sheetView>
  </sheetViews>
  <sheetFormatPr defaultRowHeight="15" x14ac:dyDescent="0.25"/>
  <cols>
    <col min="1" max="1" width="5.5703125" customWidth="1"/>
    <col min="2" max="2" width="2.7109375" customWidth="1"/>
    <col min="3" max="3" width="14.140625" bestFit="1" customWidth="1"/>
    <col min="4" max="4" width="22.5703125" bestFit="1" customWidth="1"/>
    <col min="5" max="5" width="18.42578125" bestFit="1" customWidth="1"/>
    <col min="6" max="6" width="45.5703125" bestFit="1" customWidth="1"/>
  </cols>
  <sheetData>
    <row r="1" spans="1:6" s="1" customFormat="1" x14ac:dyDescent="0.25">
      <c r="A1" s="1" t="s">
        <v>1</v>
      </c>
      <c r="B1" s="1" t="s">
        <v>301</v>
      </c>
      <c r="E1" s="26" t="s">
        <v>61</v>
      </c>
      <c r="F1" s="26" t="s">
        <v>63</v>
      </c>
    </row>
    <row r="2" spans="1:6" x14ac:dyDescent="0.25">
      <c r="B2" s="25" t="str">
        <f>"create table "&amp;B1&amp;" ("</f>
        <v>create table tfmasuk (</v>
      </c>
      <c r="C2" s="25"/>
      <c r="D2" s="25"/>
      <c r="E2" s="27"/>
      <c r="F2" s="27"/>
    </row>
    <row r="3" spans="1:6" x14ac:dyDescent="0.25">
      <c r="B3" s="25"/>
      <c r="C3" s="25" t="s">
        <v>5</v>
      </c>
      <c r="D3" s="25" t="s">
        <v>51</v>
      </c>
      <c r="E3" s="27">
        <v>1</v>
      </c>
      <c r="F3" s="27"/>
    </row>
    <row r="4" spans="1:6" x14ac:dyDescent="0.25">
      <c r="C4" t="s">
        <v>201</v>
      </c>
      <c r="D4" t="s">
        <v>52</v>
      </c>
      <c r="E4" s="27">
        <v>9</v>
      </c>
      <c r="F4" s="27"/>
    </row>
    <row r="5" spans="1:6" x14ac:dyDescent="0.25">
      <c r="C5" t="s">
        <v>304</v>
      </c>
      <c r="D5" t="s">
        <v>52</v>
      </c>
      <c r="E5" s="27">
        <v>9</v>
      </c>
      <c r="F5" s="27" t="s">
        <v>305</v>
      </c>
    </row>
    <row r="6" spans="1:6" x14ac:dyDescent="0.25">
      <c r="C6" t="s">
        <v>307</v>
      </c>
      <c r="D6" t="s">
        <v>52</v>
      </c>
      <c r="E6" s="27"/>
      <c r="F6" s="27" t="s">
        <v>308</v>
      </c>
    </row>
    <row r="7" spans="1:6" x14ac:dyDescent="0.25">
      <c r="C7" t="s">
        <v>284</v>
      </c>
      <c r="D7" t="s">
        <v>77</v>
      </c>
      <c r="E7" s="27"/>
      <c r="F7" s="27"/>
    </row>
    <row r="8" spans="1:6" x14ac:dyDescent="0.25">
      <c r="C8" t="s">
        <v>285</v>
      </c>
      <c r="D8" t="s">
        <v>77</v>
      </c>
      <c r="E8" s="27"/>
      <c r="F8" s="27"/>
    </row>
    <row r="9" spans="1:6" x14ac:dyDescent="0.25">
      <c r="C9" t="s">
        <v>56</v>
      </c>
      <c r="D9" t="s">
        <v>30</v>
      </c>
      <c r="E9" s="28" t="s">
        <v>62</v>
      </c>
      <c r="F9" s="27"/>
    </row>
    <row r="10" spans="1:6" x14ac:dyDescent="0.25">
      <c r="C10" t="s">
        <v>78</v>
      </c>
      <c r="D10" t="s">
        <v>55</v>
      </c>
      <c r="E10" s="27">
        <v>5</v>
      </c>
      <c r="F10" s="27"/>
    </row>
    <row r="11" spans="1:6" x14ac:dyDescent="0.25">
      <c r="C11" t="s">
        <v>79</v>
      </c>
      <c r="D11" t="s">
        <v>64</v>
      </c>
      <c r="E11" s="27" t="s">
        <v>205</v>
      </c>
      <c r="F11" s="27" t="s">
        <v>65</v>
      </c>
    </row>
    <row r="12" spans="1:6" x14ac:dyDescent="0.25">
      <c r="C12" t="s">
        <v>58</v>
      </c>
      <c r="D12" t="s">
        <v>71</v>
      </c>
      <c r="E12" s="27">
        <v>10000</v>
      </c>
      <c r="F12" s="27" t="s">
        <v>309</v>
      </c>
    </row>
    <row r="13" spans="1:6" x14ac:dyDescent="0.25">
      <c r="C13" t="s">
        <v>59</v>
      </c>
      <c r="D13" t="s">
        <v>30</v>
      </c>
      <c r="E13" s="28" t="s">
        <v>62</v>
      </c>
      <c r="F13" s="27"/>
    </row>
    <row r="14" spans="1:6" x14ac:dyDescent="0.25">
      <c r="C14" t="s">
        <v>60</v>
      </c>
      <c r="D14" t="s">
        <v>64</v>
      </c>
      <c r="E14" s="27" t="s">
        <v>67</v>
      </c>
      <c r="F14" s="27"/>
    </row>
    <row r="15" spans="1:6" x14ac:dyDescent="0.25">
      <c r="C15" t="s">
        <v>7</v>
      </c>
      <c r="D15" t="s">
        <v>57</v>
      </c>
      <c r="E15" s="27"/>
      <c r="F15" s="27"/>
    </row>
    <row r="16" spans="1:6" x14ac:dyDescent="0.25">
      <c r="B16" t="s">
        <v>0</v>
      </c>
      <c r="E16" s="27"/>
      <c r="F16" s="27"/>
    </row>
    <row r="18" spans="1:2" s="1" customFormat="1" x14ac:dyDescent="0.25">
      <c r="A18" s="1" t="s">
        <v>2</v>
      </c>
    </row>
    <row r="19" spans="1:2" x14ac:dyDescent="0.25">
      <c r="B19" t="str">
        <f>"alter table "&amp;B1&amp;" add constraint pk_"&amp;B1&amp;" primary key (id);"</f>
        <v>alter table tfmasuk add constraint pk_tfmasuk primary key (id);</v>
      </c>
    </row>
    <row r="21" spans="1:2" s="1" customFormat="1" x14ac:dyDescent="0.25">
      <c r="A21" s="1" t="s">
        <v>3</v>
      </c>
    </row>
    <row r="22" spans="1:2" x14ac:dyDescent="0.25">
      <c r="B22" t="s">
        <v>302</v>
      </c>
    </row>
    <row r="24" spans="1:2" s="1" customFormat="1" x14ac:dyDescent="0.25">
      <c r="A24" s="1" t="s">
        <v>6</v>
      </c>
    </row>
    <row r="25" spans="1:2" x14ac:dyDescent="0.25">
      <c r="B25" t="s">
        <v>303</v>
      </c>
    </row>
    <row r="26" spans="1:2" x14ac:dyDescent="0.25">
      <c r="B26" t="s">
        <v>311</v>
      </c>
    </row>
    <row r="50" spans="1:13" s="1" customFormat="1" x14ac:dyDescent="0.25">
      <c r="A50" s="1" t="s">
        <v>4</v>
      </c>
    </row>
    <row r="53" spans="1:13" ht="52.5" x14ac:dyDescent="0.25">
      <c r="A53" s="3" t="s">
        <v>5</v>
      </c>
      <c r="B53" s="3" t="s">
        <v>27</v>
      </c>
      <c r="C53" s="3" t="s">
        <v>7</v>
      </c>
    </row>
    <row r="54" spans="1:13" x14ac:dyDescent="0.25">
      <c r="A54" s="7"/>
      <c r="B54" s="2"/>
      <c r="C54" s="2"/>
    </row>
    <row r="55" spans="1:13" x14ac:dyDescent="0.25">
      <c r="A55" s="7"/>
      <c r="B55" s="2"/>
      <c r="C55" s="2"/>
      <c r="K55" s="8"/>
      <c r="L55" s="8"/>
      <c r="M55" s="8"/>
    </row>
    <row r="56" spans="1:13" x14ac:dyDescent="0.25">
      <c r="A56" s="7"/>
      <c r="B56" s="2"/>
      <c r="C56" s="2"/>
      <c r="H56" s="4"/>
      <c r="I56" s="5"/>
      <c r="K56" s="4"/>
      <c r="L56" s="5"/>
      <c r="M56" s="5"/>
    </row>
    <row r="57" spans="1:13" x14ac:dyDescent="0.25">
      <c r="A57" s="7"/>
      <c r="B57" s="2"/>
      <c r="C57" s="2"/>
      <c r="H57" s="4"/>
      <c r="I57" s="5"/>
      <c r="K57" s="4"/>
      <c r="L57" s="5"/>
      <c r="M57" s="5"/>
    </row>
    <row r="58" spans="1:13" x14ac:dyDescent="0.25">
      <c r="A58" s="7"/>
      <c r="B58" s="2"/>
      <c r="C58" s="2"/>
      <c r="H58" s="4"/>
      <c r="I58" s="5"/>
      <c r="K58" s="4"/>
      <c r="L58" s="5"/>
      <c r="M58" s="5"/>
    </row>
    <row r="59" spans="1:13" x14ac:dyDescent="0.25">
      <c r="A59" s="7"/>
      <c r="B59" s="2"/>
      <c r="C59" s="2"/>
      <c r="H59" s="4"/>
      <c r="I59" s="5"/>
      <c r="K59" s="4"/>
      <c r="L59" s="5"/>
      <c r="M59" s="5"/>
    </row>
    <row r="60" spans="1:13" x14ac:dyDescent="0.25">
      <c r="A60" s="7"/>
      <c r="B60" s="2"/>
      <c r="C60" s="2"/>
      <c r="K60" s="4"/>
      <c r="L60" s="5"/>
      <c r="M60" s="5"/>
    </row>
    <row r="61" spans="1:13" x14ac:dyDescent="0.25">
      <c r="A61" s="6"/>
      <c r="B61" s="6"/>
      <c r="C61" s="6"/>
      <c r="K61" s="4"/>
      <c r="L61" s="5"/>
      <c r="M61" s="5"/>
    </row>
    <row r="62" spans="1:13" x14ac:dyDescent="0.25">
      <c r="A62" s="6"/>
      <c r="B62" s="6"/>
      <c r="C62" s="6"/>
      <c r="K62" s="4"/>
      <c r="L62" s="5"/>
      <c r="M62" s="5"/>
    </row>
    <row r="63" spans="1:13" x14ac:dyDescent="0.25">
      <c r="A63" s="6"/>
      <c r="B63" s="6"/>
      <c r="C63" s="6"/>
    </row>
  </sheetData>
  <pageMargins left="0" right="0" top="0" bottom="0" header="0.31496062992125984" footer="0.31496062992125984"/>
  <pageSetup paperSize="10000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D8359-AE02-43AF-9DB0-485E1AA662B1}">
  <dimension ref="A1:M57"/>
  <sheetViews>
    <sheetView tabSelected="1" zoomScaleNormal="100" workbookViewId="0">
      <selection activeCell="H8" sqref="H8"/>
    </sheetView>
  </sheetViews>
  <sheetFormatPr defaultRowHeight="15" x14ac:dyDescent="0.25"/>
  <cols>
    <col min="1" max="1" width="5.5703125" customWidth="1"/>
    <col min="2" max="2" width="2.7109375" customWidth="1"/>
    <col min="3" max="3" width="34.5703125" customWidth="1"/>
    <col min="4" max="4" width="30.5703125" customWidth="1"/>
    <col min="6" max="6" width="12.5703125" customWidth="1"/>
  </cols>
  <sheetData>
    <row r="1" spans="1:4" s="1" customFormat="1" x14ac:dyDescent="0.25">
      <c r="A1" s="1" t="s">
        <v>1</v>
      </c>
      <c r="B1" s="1" t="s">
        <v>331</v>
      </c>
    </row>
    <row r="2" spans="1:4" x14ac:dyDescent="0.25">
      <c r="B2" s="23" t="str">
        <f>"create table "&amp;B1&amp;" ("</f>
        <v>create table uang (</v>
      </c>
      <c r="C2" s="23"/>
    </row>
    <row r="3" spans="1:4" x14ac:dyDescent="0.25">
      <c r="B3" s="23"/>
      <c r="C3" s="23" t="s">
        <v>34</v>
      </c>
    </row>
    <row r="4" spans="1:4" x14ac:dyDescent="0.25">
      <c r="C4" t="s">
        <v>331</v>
      </c>
      <c r="D4" t="s">
        <v>332</v>
      </c>
    </row>
    <row r="5" spans="1:4" x14ac:dyDescent="0.25">
      <c r="C5" t="s">
        <v>333</v>
      </c>
      <c r="D5" t="s">
        <v>47</v>
      </c>
    </row>
    <row r="6" spans="1:4" x14ac:dyDescent="0.25">
      <c r="C6" t="s">
        <v>334</v>
      </c>
      <c r="D6" t="s">
        <v>71</v>
      </c>
    </row>
    <row r="7" spans="1:4" x14ac:dyDescent="0.25">
      <c r="C7" t="s">
        <v>336</v>
      </c>
      <c r="D7" t="s">
        <v>337</v>
      </c>
    </row>
    <row r="8" spans="1:4" x14ac:dyDescent="0.25">
      <c r="C8" t="s">
        <v>7</v>
      </c>
      <c r="D8" t="s">
        <v>29</v>
      </c>
    </row>
    <row r="9" spans="1:4" x14ac:dyDescent="0.25">
      <c r="B9" t="s">
        <v>0</v>
      </c>
    </row>
    <row r="11" spans="1:4" s="1" customFormat="1" x14ac:dyDescent="0.25">
      <c r="A11" s="1" t="s">
        <v>2</v>
      </c>
    </row>
    <row r="12" spans="1:4" x14ac:dyDescent="0.25">
      <c r="B12" t="str">
        <f>"alter table "&amp;B1&amp;" add constraint pk_"&amp;B1&amp;" primary key (id);"</f>
        <v>alter table uang add constraint pk_uang primary key (id);</v>
      </c>
    </row>
    <row r="14" spans="1:4" s="1" customFormat="1" x14ac:dyDescent="0.25">
      <c r="A14" s="1" t="s">
        <v>3</v>
      </c>
    </row>
    <row r="15" spans="1:4" x14ac:dyDescent="0.25">
      <c r="B15" t="s">
        <v>335</v>
      </c>
    </row>
    <row r="17" spans="1:1" s="1" customFormat="1" x14ac:dyDescent="0.25">
      <c r="A17" s="1" t="s">
        <v>6</v>
      </c>
    </row>
    <row r="44" spans="1:3" s="1" customFormat="1" x14ac:dyDescent="0.25">
      <c r="A44" s="1" t="s">
        <v>4</v>
      </c>
    </row>
    <row r="47" spans="1:3" ht="52.5" x14ac:dyDescent="0.25">
      <c r="A47" s="3" t="s">
        <v>5</v>
      </c>
      <c r="B47" s="3" t="s">
        <v>27</v>
      </c>
      <c r="C47" s="3" t="s">
        <v>7</v>
      </c>
    </row>
    <row r="48" spans="1:3" x14ac:dyDescent="0.25">
      <c r="A48" s="7"/>
      <c r="B48" s="2"/>
      <c r="C48" s="2"/>
    </row>
    <row r="49" spans="1:13" x14ac:dyDescent="0.25">
      <c r="A49" s="7"/>
      <c r="B49" s="2"/>
      <c r="C49" s="2"/>
      <c r="K49" s="8"/>
      <c r="L49" s="8"/>
      <c r="M49" s="8"/>
    </row>
    <row r="50" spans="1:13" x14ac:dyDescent="0.25">
      <c r="A50" s="7"/>
      <c r="B50" s="2"/>
      <c r="C50" s="2"/>
      <c r="H50" s="4"/>
      <c r="I50" s="5"/>
      <c r="K50" s="4"/>
      <c r="L50" s="5"/>
      <c r="M50" s="5"/>
    </row>
    <row r="51" spans="1:13" x14ac:dyDescent="0.25">
      <c r="A51" s="7"/>
      <c r="B51" s="2"/>
      <c r="C51" s="2"/>
      <c r="H51" s="4"/>
      <c r="I51" s="5"/>
      <c r="K51" s="4"/>
      <c r="L51" s="5"/>
      <c r="M51" s="5"/>
    </row>
    <row r="52" spans="1:13" x14ac:dyDescent="0.25">
      <c r="A52" s="7"/>
      <c r="B52" s="2"/>
      <c r="C52" s="2"/>
      <c r="H52" s="4"/>
      <c r="I52" s="5"/>
      <c r="K52" s="4"/>
      <c r="L52" s="5"/>
      <c r="M52" s="5"/>
    </row>
    <row r="53" spans="1:13" x14ac:dyDescent="0.25">
      <c r="A53" s="7"/>
      <c r="B53" s="2"/>
      <c r="C53" s="2"/>
      <c r="H53" s="4"/>
      <c r="I53" s="5"/>
      <c r="K53" s="4"/>
      <c r="L53" s="5"/>
      <c r="M53" s="5"/>
    </row>
    <row r="54" spans="1:13" x14ac:dyDescent="0.25">
      <c r="A54" s="7"/>
      <c r="B54" s="2"/>
      <c r="C54" s="2"/>
      <c r="K54" s="4"/>
      <c r="L54" s="5"/>
      <c r="M54" s="5"/>
    </row>
    <row r="55" spans="1:13" x14ac:dyDescent="0.25">
      <c r="A55" s="6"/>
      <c r="B55" s="6"/>
      <c r="C55" s="6"/>
      <c r="K55" s="4"/>
      <c r="L55" s="5"/>
      <c r="M55" s="5"/>
    </row>
    <row r="56" spans="1:13" x14ac:dyDescent="0.25">
      <c r="A56" s="6"/>
      <c r="B56" s="6"/>
      <c r="C56" s="6"/>
      <c r="K56" s="4"/>
      <c r="L56" s="5"/>
      <c r="M56" s="5"/>
    </row>
    <row r="57" spans="1:13" x14ac:dyDescent="0.25">
      <c r="A57" s="6"/>
      <c r="B57" s="6"/>
      <c r="C57" s="6"/>
    </row>
  </sheetData>
  <pageMargins left="0" right="0" top="0" bottom="0" header="0.31496062992125984" footer="0.31496062992125984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TABLE</vt:lpstr>
      <vt:lpstr>VIEW</vt:lpstr>
      <vt:lpstr>kel-akun</vt:lpstr>
      <vt:lpstr>nasabah</vt:lpstr>
      <vt:lpstr>kelompok</vt:lpstr>
      <vt:lpstr>jenisjurnal</vt:lpstr>
      <vt:lpstr>sandi</vt:lpstr>
      <vt:lpstr>jurnal</vt:lpstr>
      <vt:lpstr>kategori</vt:lpstr>
      <vt:lpstr>produk</vt:lpstr>
      <vt:lpstr>coa</vt:lpstr>
      <vt:lpstr>tsetor</vt:lpstr>
      <vt:lpstr>ttarik</vt:lpstr>
      <vt:lpstr>tfkeluar</vt:lpstr>
      <vt:lpstr>tfmasuk</vt:lpstr>
      <vt:lpstr>uang</vt:lpstr>
      <vt:lpstr>laporan</vt:lpstr>
      <vt:lpstr>master</vt:lpstr>
      <vt:lpstr>transaksi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cerper</dc:creator>
  <cp:lastModifiedBy>cerper</cp:lastModifiedBy>
  <cp:lastPrinted>2022-12-14T11:39:02Z</cp:lastPrinted>
  <dcterms:created xsi:type="dcterms:W3CDTF">2022-11-27T09:18:01Z</dcterms:created>
  <dcterms:modified xsi:type="dcterms:W3CDTF">2023-09-23T13:35:52Z</dcterms:modified>
</cp:coreProperties>
</file>